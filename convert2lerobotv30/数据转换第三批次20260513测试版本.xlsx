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0325" activeTab="2"/>
  </bookViews>
  <sheets>
    <sheet name="郑州平台" sheetId="2" r:id="rId1"/>
    <sheet name="重点研发-上海" sheetId="3" r:id="rId2"/>
    <sheet name="模型内部需求-上海" sheetId="4" r:id="rId3"/>
    <sheet name="Sheet5" sheetId="5" r:id="rId4"/>
  </sheets>
  <definedNames>
    <definedName name="_xlnm._FilterDatabase" localSheetId="0" hidden="1">郑州平台!$A$1:$AG$12</definedName>
    <definedName name="_xlnm._FilterDatabase" localSheetId="2" hidden="1">'模型内部需求-上海'!$A$1:$AH$14</definedName>
  </definedNames>
  <calcPr calcId="144525"/>
</workbook>
</file>

<file path=xl/sharedStrings.xml><?xml version="1.0" encoding="utf-8"?>
<sst xmlns="http://schemas.openxmlformats.org/spreadsheetml/2006/main" count="509" uniqueCount="329">
  <si>
    <t>任务ID</t>
  </si>
  <si>
    <t>任务名称</t>
  </si>
  <si>
    <t>任务类型</t>
  </si>
  <si>
    <t>设备</t>
  </si>
  <si>
    <t>设备名称</t>
  </si>
  <si>
    <t>末端类型</t>
  </si>
  <si>
    <t>采集模式</t>
  </si>
  <si>
    <t>采集员</t>
  </si>
  <si>
    <t>审核员</t>
  </si>
  <si>
    <t>目标次数</t>
  </si>
  <si>
    <t>60条后占比</t>
  </si>
  <si>
    <t>步骤</t>
  </si>
  <si>
    <t>步骤(处理后)</t>
  </si>
  <si>
    <t>步骤(英文)</t>
  </si>
  <si>
    <t>场景</t>
  </si>
  <si>
    <t>物品</t>
  </si>
  <si>
    <t>任务级别</t>
  </si>
  <si>
    <t>任务备注</t>
  </si>
  <si>
    <t>任务标识</t>
  </si>
  <si>
    <t>创建时间</t>
  </si>
  <si>
    <t>创建人</t>
  </si>
  <si>
    <t>更新时间</t>
  </si>
  <si>
    <t>任务状态</t>
  </si>
  <si>
    <t>采集进度（上传成功）</t>
  </si>
  <si>
    <t>实时采集</t>
  </si>
  <si>
    <t>数据异常</t>
  </si>
  <si>
    <t>机审异常</t>
  </si>
  <si>
    <t>实时审核量</t>
  </si>
  <si>
    <t>总审核量</t>
  </si>
  <si>
    <t>审核通过量</t>
  </si>
  <si>
    <t>审核未通过</t>
  </si>
  <si>
    <t>总采集时长</t>
  </si>
  <si>
    <t>有效采集时长</t>
  </si>
  <si>
    <t>b91ac6fc8924403e9e98144e02482a78</t>
  </si>
  <si>
    <t>将2层货架的瓶子放到3层</t>
  </si>
  <si>
    <t>测试</t>
  </si>
  <si>
    <t>ButlerV3_010</t>
  </si>
  <si>
    <t>buttler</t>
  </si>
  <si>
    <t>夹爪</t>
  </si>
  <si>
    <t>右臂</t>
  </si>
  <si>
    <t>顾浩宇</t>
  </si>
  <si>
    <t>张艺凡</t>
  </si>
  <si>
    <t xml:space="preserve">1.抓取货架第二层的空水瓶&lt;Grasp（抓取）&gt;&lt;20s&gt;
2.移动至货架第三层&lt;Move（移动）&gt;&lt;20s&gt;
3.将水瓶放在货架第三层f&lt;Place（放置）&gt;&lt;10s&gt;
</t>
  </si>
  <si>
    <t>抓取货架第二层的空水瓶,移动至货架第三层,将水瓶放在货架第三层f.</t>
  </si>
  <si>
    <t>Grab the empty water bottle from the second layer of the shelf, move it to the third layer of the shelf, and place the water bottle on the third layer of the shelf</t>
  </si>
  <si>
    <t>商超药店</t>
  </si>
  <si>
    <t>简易</t>
  </si>
  <si>
    <t>已完成</t>
  </si>
  <si>
    <t>cbb7c7427b514ee5865ffeba6c5db075</t>
  </si>
  <si>
    <t>鼠标垫清洁（固定）</t>
  </si>
  <si>
    <t>常规</t>
  </si>
  <si>
    <t>智元A2D_19-23-433</t>
  </si>
  <si>
    <t>智元G1</t>
  </si>
  <si>
    <t>闫广宇</t>
  </si>
  <si>
    <t>何田田</t>
  </si>
  <si>
    <t xml:space="preserve">1.1.机械臂右臂夹爪抓取鼠标垫上的鼠标&lt;Grasp（抓取）&gt;&lt;5s&gt;
2.2.机械臂右臂夹爪将鼠标放到桌面指定位置&lt;Place（放置）&gt;&lt;5s&gt;
3.3.机械臂右臂夹爪抓取清洁布&lt;Grasp（抓取）&gt;&lt;5s&gt;
4.4.机械臂右臂夹爪用清洁布擦拭鼠标垫&lt;Wipe（擦拭）&gt;&lt;10s&gt;
5.5.机械臂右臂夹爪将清洁布放回原处&lt;Place（放置）&gt;&lt;5s&gt;
</t>
  </si>
  <si>
    <t>机械臂右臂夹爪抓取鼠标垫上的鼠标,机械臂右臂夹爪将鼠标放到桌面指定位置,机械臂右臂夹爪抓取清洁布,机械臂右臂夹爪用清洁布擦拭鼠标垫,机械臂右臂夹爪将清洁布放回原处.</t>
  </si>
  <si>
    <t>The gripper of the right arm of the robotic arm grabs the mouse on the mouse pad. The gripper of the right arm of the robotic arm places the mouse in the designated position on the desktop. The gripper of the right arm of the robotic arm grabs the cleaning cloth, and uses the cleaning cloth to wipe the mouse pad. The gripper of the right arm of the robotic arm returns the cleaning cloth to its original position</t>
  </si>
  <si>
    <t>办公操作整理</t>
  </si>
  <si>
    <t>中等</t>
  </si>
  <si>
    <t xml:space="preserve">1.机械臂右臂夹爪抓取鼠标垫上的鼠标
2.机械臂右臂夹爪将鼠标放到桌面指定位置
3.机械臂右臂夹爪抓取清洁布
4.机械臂右臂夹爪用清洁布擦拭鼠标垫
5.机械臂右臂夹爪将清洁布放回原处
</t>
  </si>
  <si>
    <t>普文斌</t>
  </si>
  <si>
    <t>88848659a6da4ce7abf14771aa6ccabc</t>
  </si>
  <si>
    <t>插花</t>
  </si>
  <si>
    <t>青龙_030</t>
  </si>
  <si>
    <t>青龙ROS2</t>
  </si>
  <si>
    <t>王磊</t>
  </si>
  <si>
    <t>贺婷婷</t>
  </si>
  <si>
    <t xml:space="preserve">1.右手机械臂拿取鲜花&lt;Pick（拿起）&gt;&lt;10s&gt;
2.右手机械臂放置鲜花&lt;Place（放置）&gt;&lt;10s&gt;
</t>
  </si>
  <si>
    <t>右手机械臂拿取鲜花,右手机械臂放置鲜花.</t>
  </si>
  <si>
    <t>The right-handed robotic arm picks up flowers, while the right-handed robotic arm places flowers</t>
  </si>
  <si>
    <t>家居家政</t>
  </si>
  <si>
    <t>王浩</t>
  </si>
  <si>
    <t>dca3ed3aa6ba4b07ae11781b9262818a</t>
  </si>
  <si>
    <t>药品分拣</t>
  </si>
  <si>
    <t>智元A2_ZY-A2-002</t>
  </si>
  <si>
    <t>智元A2</t>
  </si>
  <si>
    <t>灵巧手</t>
  </si>
  <si>
    <t>岳潇颖</t>
  </si>
  <si>
    <t xml:space="preserve">1.右臂抓取药盒&lt;Grasp（抓取）&gt;&lt;10s&gt;
2.右臂放置药盒&lt;Place（放置）&gt;&lt;7s&gt;
</t>
  </si>
  <si>
    <t>右臂抓取药盒,右臂放置药盒.</t>
  </si>
  <si>
    <t>Grasp the medicine box with the right arm and place it on the right arm</t>
  </si>
  <si>
    <t>00f90b4ab0e547f39c5e0d1b1c4b59a8</t>
  </si>
  <si>
    <t>汽车线束焊接</t>
  </si>
  <si>
    <t>乐聚_k4pro-lb-040</t>
  </si>
  <si>
    <t>乐聚KUAVO</t>
  </si>
  <si>
    <t>张朔</t>
  </si>
  <si>
    <t>李东杰</t>
  </si>
  <si>
    <t xml:space="preserve">1.抓取线束&lt;Grasp（抓取）&gt;&lt;10s&gt;
2.将线束放置入操作仓中&lt;Place（放置）&gt;&lt;15s&gt;
3.抓取操作仓中焊接好的线束&lt;Grasp（抓取）&gt;&lt;5s&gt;
4.将线束放回原位+复位&lt;Place（放置）&gt;&lt;10s&gt;
</t>
  </si>
  <si>
    <t>抓取线束,将线束放置入操作仓中,抓取操作仓中焊接好的线束,将线束放回原位+复位.</t>
  </si>
  <si>
    <t>Grab the wire harness, place it into the operation compartment, grab the welded wire harness in the operation compartment, and put the wire harness back to its original position+reset</t>
  </si>
  <si>
    <t>工业制造</t>
  </si>
  <si>
    <t>桌子高度：79
机器人高度：94（到机器人中间护板底部）</t>
  </si>
  <si>
    <t>曹原</t>
  </si>
  <si>
    <t>66aa5e7443394a899aede207068fbfec</t>
  </si>
  <si>
    <t>擦桌子</t>
  </si>
  <si>
    <t>傅利叶GR2_G008</t>
  </si>
  <si>
    <t>傅利叶GR2</t>
  </si>
  <si>
    <t>牛士强</t>
  </si>
  <si>
    <t>张世豪</t>
  </si>
  <si>
    <t xml:space="preserve">1.抓取毛巾擦桌子&lt;Grasp（抓取）&gt;&lt;5s&gt;
2.放置在收纳盒中&lt;Place（放置）&gt;&lt;5s&gt;
</t>
  </si>
  <si>
    <t>抓取毛巾擦桌子,放置在收纳盒中.</t>
  </si>
  <si>
    <t>Grab a towel to wipe the table and place it in the storage box</t>
  </si>
  <si>
    <t>05979ea8c83944cdb117f3b7d655677f</t>
  </si>
  <si>
    <t>零售货架整理</t>
  </si>
  <si>
    <t>buttler_002</t>
  </si>
  <si>
    <t xml:space="preserve">1.右臂抓取商品&lt;Grasp（抓取）&gt;&lt;7s&gt;
2.右臂商品平移&lt;Lift（抬起）&gt;&lt;15s&gt;
3.右臂商品放置&lt;Place（放置）&gt;&lt;8s&gt;
</t>
  </si>
  <si>
    <t>右臂抓取商品,右臂商品平移,右臂商品放置.</t>
  </si>
  <si>
    <t>Grasp the product with the right arm, translate the product with the right arm, and place the product with the right arm</t>
  </si>
  <si>
    <t>70e47773ebd94ef89cf86baee4c31049</t>
  </si>
  <si>
    <t>buttler_004</t>
  </si>
  <si>
    <t>杜恩聪</t>
  </si>
  <si>
    <t>刘思锦</t>
  </si>
  <si>
    <t>59831202455f467eb08e019845798096</t>
  </si>
  <si>
    <t>零售货架整理（辞职）</t>
  </si>
  <si>
    <t>buttler_006</t>
  </si>
  <si>
    <t xml:space="preserve">1.右臂抓取商品&lt;Grasp（抓取）&gt;&lt;5s&gt;
2.右臂商品平移&lt;Lift（抬起）&gt;&lt;10s&gt;
3.右臂商品放置&lt;Place（放置）&gt;&lt;5s&gt;
</t>
  </si>
  <si>
    <t>f6eee4aa20694a71b9cb895511a1f6a1</t>
  </si>
  <si>
    <t>buttler_001</t>
  </si>
  <si>
    <t>梁慧慧</t>
  </si>
  <si>
    <t>孙万开</t>
  </si>
  <si>
    <t>23ff26e7f3494e0ba8d6f33452ad94ee</t>
  </si>
  <si>
    <t>商超货架盒装绿茶补货 （固定）</t>
  </si>
  <si>
    <t>Dwheel_011</t>
  </si>
  <si>
    <t>Dwheel</t>
  </si>
  <si>
    <t>陈所俊</t>
  </si>
  <si>
    <t>刘倩</t>
  </si>
  <si>
    <t xml:space="preserve">1.机械臂右臂抓取箱子里的盒装绿茶&lt;Grasp（抓取）&gt;&lt;10s&gt;
2.机械臂右臂携带盒装绿茶到盒装绿茶存放区&lt;Carry（携带）&gt;&lt;10s&gt;
3.机械臂右臂将盒装绿茶摆放到盒装绿茶存放区&lt;Place（放置）&gt;&lt;10s&gt;
4.机器移动到货架下面的箱子处&lt;Move（移动）&gt;&lt;10s&gt;
5.机械臂右臂抓取箱子里的盒装绿茶&lt;Grasp（抓取）&gt;&lt;10s&gt;
6.机械臂右臂携带盒装绿茶到盒装绿茶存放区&lt;Carry（携带）&gt;&lt;10s&gt;
7.机械臂右臂将盒装绿茶摆放到盒装绿茶存放区&lt;Place（放置）&gt;&lt;10s&gt;
</t>
  </si>
  <si>
    <t>机械臂右臂抓取箱子里的盒装绿茶,机械臂右臂携带盒装绿茶到盒装绿茶存放区,机械臂右臂将盒装绿茶摆放到盒装绿茶存放区,机器移动到货架下面的箱子处,机械臂右臂抓取箱子里的盒装绿茶,机械臂右臂携带盒装绿茶到盒装绿茶存放区,机械臂右臂将盒装绿茶摆放到盒装绿茶存放区.</t>
  </si>
  <si>
    <t>The right arm of the robotic arm grabs boxed green tea from the box, carries the boxed green tea to the boxed green tea storage area, places the boxed green tea in the boxed green tea storage area, and moves the machine to the box under the shelf. The right arm of the robotic arm grabs the boxed green tea from the box, carries the boxed green tea to the boxed green tea storage area, and places the boxed green tea in the boxed green tea storage area</t>
  </si>
  <si>
    <t>机械臂右臂抓取箱子里的盒装绿茶
机械臂右臂携带盒装绿茶到盒装绿茶存放区
机械臂右臂将盒装绿茶摆放到盒装绿茶存放区
机器移动到货架下面的箱子处
机械臂右臂抓取箱子里的盒装绿茶
机械臂右臂携带盒装绿茶到盒装绿茶存放区
机械臂右臂将盒装绿茶摆放到盒装绿茶存放区</t>
  </si>
  <si>
    <t>刘镇豪</t>
  </si>
  <si>
    <t>f850372cd2b44bc297522657729d9dd2</t>
  </si>
  <si>
    <t>海信_电源组件安装_第5格</t>
  </si>
  <si>
    <t>国家重点研发项目</t>
  </si>
  <si>
    <t>智元A2D_5-21-91</t>
  </si>
  <si>
    <t>双臂</t>
  </si>
  <si>
    <t>曹扬</t>
  </si>
  <si>
    <t>邱泽豪</t>
  </si>
  <si>
    <t xml:space="preserve">1.从物料盒左起第5格拿取电源组件&lt;Pick（拿起）&gt;&lt;45s&gt;
2.放置电源组件在背板上&lt;Place（放置）&gt;&lt;45s&gt;
</t>
  </si>
  <si>
    <t>从物料盒左起第5格拿取电源组件,放置电源组件在背板上.</t>
  </si>
  <si>
    <t>Take the power module from the 5th compartment on the left of the material box and place it on the back panel</t>
  </si>
  <si>
    <t>工业制造/3C电子</t>
  </si>
  <si>
    <t>头部转角：0°
头部俯仰：10°
腰部俯仰：32°
身高升降：50°
桌面高度：95cm
箱子下表面相对于地面1170mm（绝对高度），桌面高度离地面950mm+电视机背板厚度，箱子里面的放置位姿可以调整，前后左右都可以调试</t>
  </si>
  <si>
    <t>李鑫玉</t>
  </si>
  <si>
    <t>进行中</t>
  </si>
  <si>
    <t>自动编号</t>
  </si>
  <si>
    <t>采集时长（小时）</t>
  </si>
  <si>
    <t>提交时间</t>
  </si>
  <si>
    <t>提交人</t>
  </si>
  <si>
    <t>填写日期</t>
  </si>
  <si>
    <t>任务简述</t>
  </si>
  <si>
    <t>场景域分类</t>
  </si>
  <si>
    <t>任务步骤描述</t>
  </si>
  <si>
    <r>
      <rPr>
        <sz val="10"/>
        <color rgb="FF000000"/>
        <rFont val="Droid Sans Fallback"/>
        <charset val="134"/>
      </rPr>
      <t>步骤</t>
    </r>
    <r>
      <rPr>
        <sz val="10"/>
        <color rgb="FF000000"/>
        <rFont val="Arial"/>
        <charset val="134"/>
      </rPr>
      <t>(</t>
    </r>
    <r>
      <rPr>
        <sz val="10"/>
        <color rgb="FF000000"/>
        <rFont val="Droid Sans Fallback"/>
        <charset val="134"/>
      </rPr>
      <t>处理后</t>
    </r>
    <r>
      <rPr>
        <sz val="10"/>
        <color rgb="FF000000"/>
        <rFont val="Arial"/>
        <charset val="134"/>
      </rPr>
      <t>)</t>
    </r>
  </si>
  <si>
    <r>
      <rPr>
        <sz val="10"/>
        <color rgb="FF000000"/>
        <rFont val="Droid Sans Fallback"/>
        <charset val="134"/>
      </rPr>
      <t>步骤</t>
    </r>
    <r>
      <rPr>
        <sz val="10"/>
        <color rgb="FF000000"/>
        <rFont val="Arial"/>
        <charset val="134"/>
      </rPr>
      <t>(</t>
    </r>
    <r>
      <rPr>
        <sz val="10"/>
        <color rgb="FF000000"/>
        <rFont val="Droid Sans Fallback"/>
        <charset val="134"/>
      </rPr>
      <t>英文</t>
    </r>
    <r>
      <rPr>
        <sz val="10"/>
        <color rgb="FF000000"/>
        <rFont val="Arial"/>
        <charset val="134"/>
      </rPr>
      <t>)</t>
    </r>
  </si>
  <si>
    <t>数采负责人</t>
  </si>
  <si>
    <t>机器及环境参数</t>
  </si>
  <si>
    <t>任务步骤数量</t>
  </si>
  <si>
    <t>SourceID</t>
  </si>
  <si>
    <t>异常情况说明</t>
  </si>
  <si>
    <t>备注（任务情况说明）</t>
  </si>
  <si>
    <t>采集时长（小时） (1)</t>
  </si>
  <si>
    <t>异常情况说明 (1)</t>
  </si>
  <si>
    <t>备注（任务情况说明） (1)</t>
  </si>
  <si>
    <t>父记录 5</t>
  </si>
  <si>
    <t>父记录 6</t>
  </si>
  <si>
    <t>父记录 7</t>
  </si>
  <si>
    <t>采集环境描述</t>
  </si>
  <si>
    <t>父记录 5 (1)</t>
  </si>
  <si>
    <t>父记录 6 (1)</t>
  </si>
  <si>
    <t>父记录 7 (1)</t>
  </si>
  <si>
    <t>采集环境描述 (1)</t>
  </si>
  <si>
    <t>采集环境描述 (1) (1)</t>
  </si>
  <si>
    <t>525b413cd8924fa58c6fb8de2d0332f3</t>
  </si>
  <si>
    <t>朱行栋</t>
  </si>
  <si>
    <t>十字体圆柱积木分类_桌面背景泛化_小菊花</t>
  </si>
  <si>
    <t>将十字体和圆柱体积木分类，十字体放左侧盒子，圆柱体放右侧盒子</t>
  </si>
  <si>
    <t>1. 机械臂右臂抓取圆柱积木&lt;Grasp（抓取）&gt;&lt;8s&gt; 
2. 机械臂右臂将圆柱积木放置到右侧盒子内&lt;Place（放置）&gt;&lt;8s&gt; 
3. 机械臂右臂抓取圆柱积木&lt;Grasp（抓取）&gt;&lt;8s&gt; 
4. 机械臂右臂将圆柱积木放置到右侧盒子内&lt;Place（放置）&gt;&lt;8s&gt; 
5. 机械臂左臂抓取十字体积木&lt;Grasp（抓取）&gt;&lt;8s&gt; 
6. 机械臂左臂将十字体积木放置到左侧盒子内&lt;Place（放置）&gt;&lt;8s&gt; 
7. 机械臂左臂抓取十字体积木&lt;Grasp（抓取）&gt;&lt;8s&gt; 
8. 机械臂左臂将十字体积木放置到左侧盒子内&lt;Place（放置）&gt;&lt;8s&gt;</t>
  </si>
  <si>
    <t>机械臂右臂抓取圆柱积木;机械臂右臂将圆柱积木放置到右侧盒子内;机械臂右臂抓取圆柱积木;机械臂右臂将圆柱积木放置到右侧盒子内;机械臂左臂抓取十字体积木;机械臂左臂将十字体积木放置到左侧盒子内;机械臂左臂抓取十字体积木;机械臂左臂将十字体积木放置到左侧盒子内;</t>
  </si>
  <si>
    <t>The right arm of the robotic arm grabs the cylindrical block; the right arm of the robotic arm places the cylindrical block into the right box; the right arm of the robotic arm grabs the cylindrical block; the right arm of the robotic arm places the cylindrical block into the right box; the left arm of the robotic arm grabs the cross-shaped block; the left arm of the robotic arm places the cross-shaped block into the left box; the left arm of the robotic arm grabs the cross-shaped block; the left arm of the robotic arm places the cross-shaped block into the left box;</t>
  </si>
  <si>
    <t>居政</t>
  </si>
  <si>
    <t>NzU4NzMwMzk2NzM4MjYzNzc5NjpyZWN2ZmpGZlJYdjczdjo0NDI4Zjk4MjQwMDZkOTdiYzkyM2U4OTYyNzU3NWUxODox</t>
  </si>
  <si>
    <t>1.左右2个盘子大小、颜色要换6种以上
2.盘子和抓取物品的位置要随机遍历
4.失误重新抓取比例10%
5.对抗采集比例20%</t>
  </si>
  <si>
    <t>fa8256245c4d4b1d8e534da29fcb6975</t>
  </si>
  <si>
    <t>荆致远</t>
  </si>
  <si>
    <t>叠衣服_人在环_1</t>
  </si>
  <si>
    <t>整理散乱的衣服，并叠好</t>
  </si>
  <si>
    <t>方舟无限arx-acone</t>
  </si>
  <si>
    <t>1.机械臂双臂夹爪多次翻折散乱的衣服，直到抓住两个衣角。&lt;Several Times（多次重复抓取放置）&gt;&lt;20s&gt;
2.机械臂双臂夹爪抓住两个衣角并把衣服拿起。&lt;Grasp（抓取）&gt;&lt;10s&gt;
3.机械臂双臂夹爪将衣服铺开在桌面上。&lt;Place（放置）&gt;&lt;10s&gt;
4.机械臂左臂夹爪整理一边衣角。&lt;Unfold（展开）&gt;&lt;10s&gt;
5.机械臂右臂夹爪整理另一边衣角。&lt;Unfold（展开）&gt;&lt;10s&gt;
6.机械臂双臂夹爪叠起较近的一边。&lt;Fold（折叠）&gt;&lt;10s&gt;
7.机械臂双臂夹爪将衣服拉近。&lt;Transfer（转移）&gt;&lt;10s&gt;
8.机械臂双臂夹爪叠起另一边。&lt;Fold（折叠）&gt;&lt;10s&gt;
9.机械臂右臂夹爪按压住衣服的一边。&lt;Press（按压）&gt;&lt;10s&gt;
10.机械臂左臂夹爪将衣服左右叠起。&lt;Fold（折叠）&gt;&lt;10s&gt;
11.机械臂右臂夹爪将叠好的衣服推到一边。&lt;Transfer（转移）&gt;&lt;10s&gt;</t>
  </si>
  <si>
    <t>机械臂双臂夹爪多次翻折散乱的衣服，直到抓住两个衣角。;机械臂双臂夹爪抓住两个衣角并把衣服拿起。;机械臂双臂夹爪将衣服铺开在桌面上。;机械臂左臂夹爪整理一边衣角。;机械臂右臂夹爪整理另一边衣角。;机械臂双臂夹爪叠起较近的一边。;机械臂双臂夹爪将衣服拉近。;机械臂双臂夹爪叠起另一边。;机械臂右臂夹爪按压住衣服的一边。;机械臂左臂夹爪将衣服左右叠起。;机械臂右臂夹爪将叠好的衣服推到一边。;</t>
  </si>
  <si>
    <t>The dual grippers of the robotic arm fold the scattered clothes multiple times until they grasp both corners. ; The dual grippers of the robotic arm grasp both corners and lift the clothes. ; The dual grippers of the robotic arm spread the clothes out on the table. ; The left gripper of the robotic arm straightens one corner. ; The right gripper of the robotic arm straightens the other corner. ; The dual grippers of the robotic arm fold the closer side. ; The dual grippers of the robotic arm pull the clothes closer. ; The dual grippers of the robotic arm fold the other side. ; The right gripper of the robotic arm presses down on one side of the clothes. ; The left gripper of the robotic arm folds the clothes left and right. ; The right gripper of the robotic arm pushes the folded clothes to the side. ;</t>
  </si>
  <si>
    <t>李贤</t>
  </si>
  <si>
    <t>复杂</t>
  </si>
  <si>
    <t>NzU4NzMwMzk2NzM4MjYzNzc5NjpyZWMyNzdZcmxHNnpqTjo3Y2FjZGQwZTUyYTEyZDgwOGY0MjhmYjgzYmNhOWIyZjox</t>
  </si>
  <si>
    <t>2e1dff49c84740448e4496fedc44bc99</t>
  </si>
  <si>
    <t>楼进</t>
  </si>
  <si>
    <t>预-拼写单词 PAPER</t>
  </si>
  <si>
    <t xml:space="preserve">使用字母道具按顺序拼出单词“PAPER” </t>
  </si>
  <si>
    <t>青龙</t>
  </si>
  <si>
    <t>通用抓取放置</t>
  </si>
  <si>
    <t>1.抓取字母 P&lt;Grasp（抓取）&gt;&lt;5s&gt;
2.放置到起始位置&lt;Place（放置）&gt;&lt;5s&gt;
3.抓取字母 A&lt;Grasp（抓取）&gt;&lt;5s&gt;
4.放置在 P 右侧&lt;Place（放置）&gt;&lt;5s&gt;
5.抓取字母 P&lt;Grasp（抓取）&gt;&lt;5s&gt;
6.放置在 A 右侧&lt;Place（放置）&gt;&lt;5s&gt;
7.抓取字母 E&lt;Grasp（抓取）&gt;&lt;5s&gt;
8.放置在 P 右侧&lt;Place（放置）&gt;&lt;5s&gt;
9.抓取字母 R&lt;Grasp（抓取）&gt;&lt;5s&gt;
10.放置在 E 右侧&lt;Place（放置）&gt;&lt;5s&gt;</t>
  </si>
  <si>
    <t>抓取字母 P;放置到起始位置;抓取字母 A;放置在 P 右侧;抓取字母 P;放置在 A 右侧;抓取字母 E;放置在 P 右侧;抓取字母 R;放置在 E 右侧;</t>
  </si>
  <si>
    <t>Grab the letter P; place it at the starting position; grab the letter A; place it to the right of P; grab the letter P; place it to the right of A; grab the letter E; place it to the right of P; grab the letter R; place it to the right of E;</t>
  </si>
  <si>
    <t>周旭康</t>
  </si>
  <si>
    <t>NzU4NzMwMzk2NzM4MjYzNzc5NjpyZWN2Z2xLVmJwZGwwdDo2Njc3MWRlYjZhNzU3NTg1ZWNiMzk4NGI1ZmM5OGUyZjox</t>
  </si>
  <si>
    <t>道具随机摆放在机器人视野和可抓取区域</t>
  </si>
  <si>
    <t>c002540b68b54b11824e5d2f439c58b9</t>
  </si>
  <si>
    <t>李玥萱</t>
  </si>
  <si>
    <t>预-杯碟放置_桌面背景泛化_绿色</t>
  </si>
  <si>
    <t>将杯子从随机初始姿态重新调整并放置在杯碟上。双手协作任务。</t>
  </si>
  <si>
    <t>单臂_右</t>
  </si>
  <si>
    <t>1.机械臂右臂抓取杯子&lt;Grasp（抓取）&gt;&lt;8s&gt;
2.机械臂右臂将杯子放到杯碟中&lt;Place（放置）&gt;&lt;8s&gt;</t>
  </si>
  <si>
    <t>机械臂右臂抓取杯子;机械臂右臂将杯子放到杯碟中;</t>
  </si>
  <si>
    <t>The right arm of the robotic arm grabs the cup; the right arm of the robotic arm places the cup into the saucer;</t>
  </si>
  <si>
    <t>侯信勇</t>
  </si>
  <si>
    <t>NzU4NzMwMzk2NzM4MjYzNzc5NjpyZWN2Z0VKNEtYVEVtQTo1OWQ2NjZmNTk5N2MxOGNkMGJkNWQ0ZjgwMjg3ZTIzNTox</t>
  </si>
  <si>
    <t>抓取物品的位置要随机遍历
失误重新抓取比例10%
对抗采集比例20%</t>
  </si>
  <si>
    <t>3602d39d919a42f58c16b821df67aaa2</t>
  </si>
  <si>
    <t>封任行</t>
  </si>
  <si>
    <t>固定抓取</t>
  </si>
  <si>
    <t>机器人先抓取玩偶，然后传递给右臂，最后放置到桌子上。</t>
  </si>
  <si>
    <t>1.初始机器人位于桌子面前，机械臂右臂夹爪抓取玩偶 &lt;Grasp（抓取）&gt; &lt;8s&gt;2.机器人右臂把玩偶传递给左臂&lt;HandOver（传递）&gt;&lt;16s&gt;3. 机械臂左臂夹爪放置玩偶于桌面红色收纳箱&lt;Place（放置）&gt; &lt;8s&gt;</t>
  </si>
  <si>
    <t>初始机器人位于桌子面前，机械臂右臂夹爪抓取玩偶;;机器人右臂把玩偶传递给左臂;机械臂左臂夹爪放置玩偶于桌面红色收纳箱;;</t>
  </si>
  <si>
    <t>The initial robot is positioned in front of the table, with the gripper of its right mechanical arm grasping the doll;; The robot's right arm transfers the doll to the left arm; The gripper of the left mechanical arm places the doll into the red storage box on the table;;</t>
  </si>
  <si>
    <t>移动不要动头 不要动腰</t>
  </si>
  <si>
    <t>NzU4NzMwMzk2NzM4MjYzNzc5NjpyZWN2aG5SQXFRWFhXMDo4MzFlYmJmMDBlMjkwY2M0YjgzMDQ2NDU1OGM5MjI4OTox</t>
  </si>
  <si>
    <t>94657ad97a454fbfa2f3fdbe95211792</t>
  </si>
  <si>
    <t>预-红绿积木分类_桌面背景泛化_五角星方巾</t>
  </si>
  <si>
    <t>将红色和绿色积木分类，红色积木放左侧盒子，绿色积木放右侧盒子</t>
  </si>
  <si>
    <t>灵龙-h</t>
  </si>
  <si>
    <t>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t>
  </si>
  <si>
    <t>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t>
  </si>
  <si>
    <t>The right arm of the robotic arm grabs the green building block; the right arm of the robotic arm places the green building block into the right box; the right arm of the robotic arm grabs the green building block; the right arm of the robotic arm places the green building block into the right box; the left arm of the robotic arm grabs the red building block; the left arm of the robotic arm places the red building block into the left box; the left arm of the robotic arm grabs the red building block; the left arm of the robotic arm places the red building block into the left box;</t>
  </si>
  <si>
    <t>NzU4NzMwMzk2NzM4MjYzNzc5NjpyZWN2aG5aOTFBVnd6UjozNjk4MDk3YjVlNjhkNDc3OTYwNTM5YTI3MTFlM2Q5Njox</t>
  </si>
  <si>
    <t>1.左右2个盒子大小、颜色要换2种以上
2.盘子和抓取物品的位置要随机遍历
4.失误重新抓取比例10%
5.对抗采集比例20%</t>
  </si>
  <si>
    <t>8c55fc61464d4261baff23ff9e426e18</t>
  </si>
  <si>
    <t>预-半圆柱扇形柱积木分类_桌面背景泛化_柠檬桌布</t>
  </si>
  <si>
    <t>将半圆柱和扇形柱积木分类，半圆柱放左侧盒子，扇形柱放右侧盒子</t>
  </si>
  <si>
    <t>星尘智能S1</t>
  </si>
  <si>
    <t>1. 机械臂右臂抓取扇形柱积木&lt;Grasp（抓取）&gt;&lt;8s&gt; 
2. 机械臂右臂将扇形柱积木放置到右侧盒子内&lt;Place（放置）&gt;&lt;8s&gt; 
3. 机械臂右臂抓取扇形柱积木&lt;Grasp（抓取）&gt;&lt;8s&gt; 
4. 机械臂右臂将扇形柱积木放置到右侧盒子内&lt;Place（放置）&gt;&lt;8s&gt; 
5. 机械臂左臂抓取半圆柱积木&lt;Grasp（抓取）&gt;&lt;8s&gt; 
6. 机械臂左臂将半圆柱积木放置到左侧盒子内&lt;Place（放置）&gt;&lt;8s&gt; 
7. 机械臂左臂抓取半圆柱积木&lt;Grasp（抓取）&gt;&lt;8s&gt; 
8. 机械臂左臂将半圆柱积木放置到左侧盒子内&lt;Place（放置）&gt;&lt;8s&gt;</t>
  </si>
  <si>
    <t>机械臂右臂抓取扇形柱积木;机械臂右臂将扇形柱积木放置到右侧盒子内;机械臂右臂抓取扇形柱积木;机械臂右臂将扇形柱积木放置到右侧盒子内;机械臂左臂抓取半圆柱积木;机械臂左臂将半圆柱积木放置到左侧盒子内;机械臂左臂抓取半圆柱积木;机械臂左臂将半圆柱积木放置到左侧盒子内;</t>
  </si>
  <si>
    <t>The right arm of the robotic arm grabs the sector-shaped column block; the right arm of the robotic arm places the sector-shaped column block into the right box; the right arm of the robotic arm grabs the sector-shaped column block; the right arm of the robotic arm places the sector-shaped column block into the right box; the left arm of the robotic arm grabs the semi-cylindrical block; the left arm of the robotic arm places the semi-cylindrical block into the left box; the left arm of the robotic arm grabs the semi-cylindrical block; the left arm of the robotic arm places the semi-cylindrical block into the left box.</t>
  </si>
  <si>
    <t>NzU4NzMwMzk2NzM4MjYzNzc5NjpyZWN2aHBsU0wwV052RTo3YTI3ZTIxY2QzZDZkZGJlMDkzZTk5MTFjYTU2MTE2Nzox</t>
  </si>
  <si>
    <t>1.左右2个盘子大小、颜色要换2种以上
2.盘子和抓取物品的位置要随机遍历
4.失误重新抓取比例10%
5.对抗采集比例20%</t>
  </si>
  <si>
    <t>5df79740a10d4784b04975f9af3c558c</t>
  </si>
  <si>
    <t>语义测试</t>
  </si>
  <si>
    <t>机器人抓取电池（电池位置可以在左边，也可以在右边）</t>
  </si>
  <si>
    <t>UR5e</t>
  </si>
  <si>
    <t xml:space="preserve">1.左臂/右臂抓取电池&lt;Grasp（抓取）&gt;&lt;3s&gt; 2.左臂/右臂将电池放到碗里上&lt;Place（放置）&gt;&lt;3s&gt; </t>
  </si>
  <si>
    <t>左臂/右臂抓取电池;左臂/右臂将电池放到碗里上;</t>
  </si>
  <si>
    <t>Left arm/Right arm grabs the battery; Left arm/Right arm places the battery into the bowl;</t>
  </si>
  <si>
    <t>NzU4NzMwMzk2NzM4MjYzNzc5NjpyZWN2aHBBb0JLdDBDWjo5NWJkYjFlNDkyMTUwZTgzZWYzNGRkNjUyYmM2NmY3MTox</t>
  </si>
  <si>
    <t>7432bbb1213b4cc6afb768311cdd08a5</t>
  </si>
  <si>
    <t>陈安东</t>
  </si>
  <si>
    <t>预-杨桃芒果分类_桌面背景泛化_橙色</t>
  </si>
  <si>
    <t>将杨桃和芒果分类，杨桃放左侧盘子，芒果放右侧盘子</t>
  </si>
  <si>
    <t>天机</t>
  </si>
  <si>
    <t>1. 机械臂右臂抓取芒果&lt;Grasp（抓取）&gt;&lt;8s&gt; 
2. 机械臂右臂将芒果放置到右侧盘子内&lt;Place（放置）&gt;&lt;8s&gt; 
3. 机械臂右臂抓取芒果&lt;Grasp（抓取）&gt;&lt;8s&gt; 
4. 机械臂右臂将芒果放置到右侧盘子内&lt;Place（放置）&gt;&lt;8s&gt; 
5. 机械臂左臂抓取杨桃&lt;Grasp（抓取）&gt;&lt;8s&gt; 
6. 机械臂左臂将杨桃放置到左侧盘子内&lt;Place（放置）&gt;&lt;8s&gt; 
7. 机械臂左臂抓取杨桃&lt;Grasp（抓取）&gt;&lt;8s&gt; 
8. 机械臂左臂将杨桃放置到左侧盘子内&lt;Place（放置）&gt;&lt;8s&gt;</t>
  </si>
  <si>
    <t>机械臂右臂抓取芒果;机械臂右臂将芒果放置到右侧盘子内;机械臂右臂抓取芒果;机械臂右臂将芒果放置到右侧盘子内;机械臂左臂抓取杨桃;机械臂左臂将杨桃放置到左侧盘子内;机械臂左臂抓取杨桃;机械臂左臂将杨桃放置到左侧盘子内;</t>
  </si>
  <si>
    <t>The right arm of the robotic arm grabs the mango; the right arm of the robotic arm places the mango into the right plate; the right arm of the robotic arm grabs the mango; the right arm of the robotic arm places the mango into the right plate; the left arm of the robotic arm grabs the carambola; the left arm of the robotic arm places the carambola into the left plate; the left arm of the robotic arm grabs the carambola; the left arm of the robotic arm places the carambola into the left plate.</t>
  </si>
  <si>
    <t>赵洧腥</t>
  </si>
  <si>
    <t>NzU4NzMwMzk2NzM4MjYzNzc5NjpyZWN2aHRWZ2M5MlhOcDozMDJlNWFiMmU5NWFiYTMzYjYxNjc5MDliNDcxMzg3ZTox</t>
  </si>
  <si>
    <t>3875578cb32c48dfb390648016981ecb</t>
  </si>
  <si>
    <t>预-杨桃芒果分类_桌面背景泛化_黄色</t>
  </si>
  <si>
    <t>将杨桃和芒果分类，杨桃放左侧盒子，芒果放右侧盒子</t>
  </si>
  <si>
    <t>1. 机械臂右臂抓取芒果&lt;Grasp（抓取）&gt;&lt;8s&gt; 
2. 机械臂右臂将芒果放置到右侧盒子内&lt;Place（放置）&gt;&lt;8s&gt; 
3. 机械臂右臂抓取芒果&lt;Grasp（抓取）&gt;&lt;8s&gt; 
4. 机械臂右臂将芒果放置到右侧盒子内&lt;Place（放置）&gt;&lt;8s&gt; 
5. 机械臂左臂抓取杨桃&lt;Grasp（抓取）&gt;&lt;8s&gt; 
6. 机械臂左臂将杨桃放置到左侧盒子内&lt;Place（放置）&gt;&lt;8s&gt; 
7. 机械臂左臂抓取杨桃&lt;Grasp（抓取）&gt;&lt;8s&gt; 
8. 机械臂左臂将杨桃放置到左侧盒子内&lt;Place（放置）&gt;&lt;8s&gt;</t>
  </si>
  <si>
    <t>机械臂右臂抓取芒果;机械臂右臂将芒果放置到右侧盒子内;机械臂右臂抓取芒果;机械臂右臂将芒果放置到右侧盒子内;机械臂左臂抓取杨桃;机械臂左臂将杨桃放置到左侧盒子内;机械臂左臂抓取杨桃;机械臂左臂将杨桃放置到左侧盒子内;</t>
  </si>
  <si>
    <t>The right arm of the robotic arm grabs the mango; the right arm of the robotic arm places the mango into the right box; the right arm of the robotic arm grabs the mango; the right arm of the robotic arm places the mango into the right box; the left arm of the robotic arm grabs the star fruit; the left arm of the robotic arm places the star fruit into the left box; the left arm of the robotic arm grabs the star fruit; the left arm of the robotic arm places the star fruit into the left box;</t>
  </si>
  <si>
    <t>NzU4NzMwMzk2NzM4MjYzNzc5NjpyZWN2aHRWTHhZYWF1ODpkMDQ3NGY5YWMyOGEwZTk1OWM2OGRmMDRmODhjNGU0Zjox</t>
  </si>
  <si>
    <t>4a6710a005f242e8b683f5b3885493a4</t>
  </si>
  <si>
    <t>后-颜色分类蓝色-100</t>
  </si>
  <si>
    <t>将桌上的蓝色物体放到篮筐里</t>
  </si>
  <si>
    <t>松灵Aloha</t>
  </si>
  <si>
    <t>1.机械臂右臂夹爪抓取桌上的蓝色物体&lt;Grasp（抓取）&gt;&lt;8s&gt;
2.机械臂右臂夹爪将抓到的物体放入篮筐中&lt;Place（放置）&gt;&lt;8s&gt;
3.机械臂右臂夹爪重复上述流程，直到桌上没有蓝色物体&lt;Several Times（多次重复抓取放置）&gt;&lt;20s&gt;</t>
  </si>
  <si>
    <t>机械臂右臂夹爪抓取桌上的蓝色物体;机械臂右臂夹爪将抓到的物体放入篮筐中;机械臂右臂夹爪重复上述流程，直到桌上没有蓝色物体;</t>
  </si>
  <si>
    <t>The gripper of the right arm of the robotic arm grabs the blue object on the table; the gripper of the right arm of the robotic arm puts the grabbed object into the basket; the gripper of the right arm of the robotic arm repeats the above process until there are no blue objects on the table.</t>
  </si>
  <si>
    <t>汤艺琨</t>
  </si>
  <si>
    <t>NzU4NzMwMzk2NzM4MjYzNzc5NjpyZWMyN2ZTY0lkb2U2VzpjNWE3MDI5ZjYxNmRiZDc5M2Q2YzlmYjU0NGNiZjlmYTox</t>
  </si>
  <si>
    <t>f42f3052e28b4e1b85a2a15bdb963e4f</t>
  </si>
  <si>
    <t>计应伟</t>
  </si>
  <si>
    <t>预-对抗采集-用字母积木拼出桌面物体的英文单词_杯子</t>
  </si>
  <si>
    <t>桌面上是杯子，所以要将桌面上的带字母积木按顺序摆放，拼出单词“CUP”。</t>
  </si>
  <si>
    <t>1.抓取字母积木C&lt;Grasp（抓取）&gt;&lt;15s&gt;
2.将字母积木C放到目标区域&lt;Place（放置）&gt;&lt;16s&gt;
3.抓取字母积木U&lt;Grasp（抓取）&gt;&lt;15s&gt;
4.将字母积木U放到目标区域&lt;Place（放置）&gt;&lt;16s&gt;
5.抓取字母积木P&lt;Grasp（抓取）&gt;&lt;15s&gt;
6.将字母积木P放到目标区域&lt;Place（放置）&gt;&lt;16s&gt;</t>
  </si>
  <si>
    <t>抓取字母积木C;将字母积木C放到目标区域;抓取字母积木U;将字母积木U放到目标区域;抓取字母积木P;将字母积木P放到目标区域;</t>
  </si>
  <si>
    <t>Grab the letter block C; place the letter block C in the target area; grab the letter block U; place the letter block U in the target area; grab the letter block P; place the letter block P in the target area;</t>
  </si>
  <si>
    <t>环境：桌面高度小范围随机；桌布80%非白色随机，20%无桌布或白色桌布；环境中物体随机位置摆放；环境中物体：杯子、带字母木块C,U,P，以及额外干扰木块A,K,M,R；桌面上至少包含能够拼出目标英文单词的全部木块；中间摄像头在每次采集前，在45度附近小幅调整。【双人对抗采集】：总量 60 次双人对抗演示。由一人施教，一人干扰。随机触发：1. 动态移位（抓取前瞬间移走物体 $\rightarrow$ 重新追踪抓取）；2. 状态破坏（放置后瞬间推开物体 $\rightarrow$ 重新抓取复位）；3. 路径阻挡（搬运中放置障碍物 $\rightarrow$ 引导绕行）。执行要求：补救过程需流畅，清晰记录从‘干扰触发 $\rightarrow$ 意识到错误 $\rightarrow$ 执行修正’的完整连续轨迹。</t>
  </si>
  <si>
    <t>NzU4NzMwMzk2NzM4MjYzNzc5NjpyZWN2aHVTRjA2QVJVaTowOGFlNzVjNDgwOGI2ZTE3MDk0ZGZkNzEyMWE5ZjEwMDox</t>
  </si>
  <si>
    <t>840f3367c3864c0b839b805722c79b2e</t>
  </si>
  <si>
    <t>预-叠放杯子</t>
  </si>
  <si>
    <t>将散乱杯子逐个叠放整齐</t>
  </si>
  <si>
    <t>星海图R1</t>
  </si>
  <si>
    <t>餐饮服务</t>
  </si>
  <si>
    <t>1.抓取桌面左侧的杯子&lt;Grasp（抓取）&gt;&lt;5s&gt;
2.放于桌面中央目标区域&lt;Release（释放）&gt;&lt;8s&gt;
3.抓取桌面右侧的杯子&lt;Grasp（抓取）&gt;&lt;5s&gt;
4.叠放于桌面中央杯子上&lt;Place（放置）&gt;&lt;8s&gt;</t>
  </si>
  <si>
    <t>抓取桌面左侧的杯子;放于桌面中央目标区域;抓取桌面右侧的杯子;叠放于桌面中央杯子上;</t>
  </si>
  <si>
    <t>Grab the cup on the left side of the desktop; place it in the target area in the center of the desktop; grab the cup on the right side of the desktop; stack it on top of the cup in the center of the desktop.</t>
  </si>
  <si>
    <t>唐灏</t>
  </si>
  <si>
    <t>桌面高度：小范围随机；桌布：80%非白色随机，20%无桌布或白色桌布</t>
  </si>
  <si>
    <t>中</t>
  </si>
  <si>
    <t>NzU4NzMwMzk2NzM4MjYzNzc5NjpyZWN2aVAybGY1S1ptNDo2MDFlYzE5ZmRjYjFmMDIwNDExYmJjNzk3ZDdkMTk5MDox</t>
  </si>
  <si>
    <t>214a3a95d17a42d9ae524c0da2ed543c</t>
  </si>
  <si>
    <t>徐源</t>
  </si>
  <si>
    <t>物品整理</t>
  </si>
  <si>
    <t>左臂把杯子放到杯垫上，右臂把勺子放到杯子里，初始状态为杯子中有一个吸管，需要先把吸管取出</t>
  </si>
  <si>
    <t>Franka FR3</t>
  </si>
  <si>
    <r>
      <t>1. 左臂拾取杯子 &lt;Pick（拿起）&gt;&lt;20s&gt;</t>
    </r>
    <r>
      <rPr>
        <sz val="11"/>
        <color theme="1"/>
        <rFont val="Calibri"/>
        <charset val="134"/>
      </rPr>
      <t xml:space="preserve">
</t>
    </r>
    <r>
      <rPr>
        <sz val="11"/>
        <color theme="1"/>
        <rFont val="Calibri"/>
        <charset val="134"/>
      </rPr>
      <t>2. 将杯子放在杯垫上·&lt;Place（放置）&gt;&lt;20s&gt;</t>
    </r>
    <r>
      <rPr>
        <sz val="11"/>
        <color theme="1"/>
        <rFont val="Calibri"/>
        <charset val="134"/>
      </rPr>
      <t xml:space="preserve">
</t>
    </r>
    <r>
      <rPr>
        <sz val="11"/>
        <color theme="1"/>
        <rFont val="Calibri"/>
        <charset val="134"/>
      </rPr>
      <t>3. 右臂拾取杯子中的吸管 &lt;Pick（拿起）&gt;&lt;20s&gt;</t>
    </r>
    <r>
      <rPr>
        <sz val="11"/>
        <color theme="1"/>
        <rFont val="Calibri"/>
        <charset val="134"/>
      </rPr>
      <t xml:space="preserve">
</t>
    </r>
    <r>
      <rPr>
        <sz val="11"/>
        <color theme="1"/>
        <rFont val="Calibri"/>
        <charset val="134"/>
      </rPr>
      <t>4. 将吸管放在桌面上 &lt;Place（放置）&gt;&lt;20s&gt;</t>
    </r>
    <r>
      <rPr>
        <sz val="11"/>
        <color theme="1"/>
        <rFont val="Calibri"/>
        <charset val="134"/>
      </rPr>
      <t xml:space="preserve">
</t>
    </r>
    <r>
      <rPr>
        <sz val="11"/>
        <color theme="1"/>
        <rFont val="Calibri"/>
        <charset val="134"/>
      </rPr>
      <t>5. 右臂拾取勺子 &lt;Pick（拿起）&gt;&lt;20s&gt;</t>
    </r>
    <r>
      <rPr>
        <sz val="11"/>
        <color theme="1"/>
        <rFont val="Calibri"/>
        <charset val="134"/>
      </rPr>
      <t xml:space="preserve">
</t>
    </r>
    <r>
      <rPr>
        <sz val="11"/>
        <color theme="1"/>
        <rFont val="Calibri"/>
        <charset val="134"/>
      </rPr>
      <t>6. 将勺子放在杯子里 &lt;Place（放置）&gt;&lt;20s&gt;</t>
    </r>
  </si>
  <si>
    <t>左臂拾取杯子;将杯子放在杯垫上·;右臂拾取杯子中的吸管;将吸管放在桌面上;右臂拾取勺子;将勺子放在杯子里;</t>
  </si>
  <si>
    <t>Pick up the cup with the left arm; place the cup on the coaster; pick up the straw from the cup with the right arm; place the straw on the table; pick up the spoon with the right arm; place the spoon in the cup;</t>
  </si>
  <si>
    <t>NzU4NzMwMzk2NzM4MjYzNzc5NjpyZWN2NjRsbW5LVFV0MDo3OGZiNzk1MjJkYzczODYwNmNhMDgyN2FjOTE4MDMxNzox</t>
  </si>
  <si>
    <t>郑州</t>
  </si>
  <si>
    <t>重点研发（上海）</t>
  </si>
  <si>
    <t>模型内部（上海）</t>
  </si>
  <si>
    <t>按照机型汇总</t>
  </si>
  <si>
    <t>CAD是否转换</t>
  </si>
  <si>
    <t>CAD转换时长</t>
  </si>
  <si>
    <t>ZXD是否转换</t>
  </si>
  <si>
    <t>ZXD转换时长</t>
  </si>
  <si>
    <t>乐聚</t>
  </si>
  <si>
    <t>傅利叶</t>
  </si>
  <si>
    <t>松灵aloha</t>
  </si>
  <si>
    <t>方舟无限</t>
  </si>
  <si>
    <t>星尘</t>
  </si>
  <si>
    <t>星海图</t>
  </si>
  <si>
    <t>灵龙h</t>
  </si>
  <si>
    <t>按照数据来源汇总</t>
  </si>
  <si>
    <t>CAD总机型</t>
  </si>
  <si>
    <t>CAD总时长</t>
  </si>
  <si>
    <t>ZXD总机型</t>
  </si>
  <si>
    <t>ZXD总时长</t>
  </si>
</sst>
</file>

<file path=xl/styles.xml><?xml version="1.0" encoding="utf-8"?>
<styleSheet xmlns="http://schemas.openxmlformats.org/spreadsheetml/2006/main">
  <numFmts count="6">
    <numFmt numFmtId="176" formatCode="yyyy/m/d\ h:mm"/>
    <numFmt numFmtId="177" formatCode="yyyy/m/d"/>
    <numFmt numFmtId="44" formatCode="_(&quot;$&quot;* #,##0.00_);_(&quot;$&quot;* \(#,##0.00\);_(&quot;$&quot;* &quot;-&quot;??_);_(@_)"/>
    <numFmt numFmtId="42" formatCode="_(&quot;$&quot;* #,##0_);_(&quot;$&quot;* \(#,##0\);_(&quot;$&quot;* &quot;-&quot;_);_(@_)"/>
    <numFmt numFmtId="178" formatCode="_ * #,##0.00_ ;_ * \-#,##0.00_ ;_ * &quot;-&quot;??_ ;_ @_ "/>
    <numFmt numFmtId="179" formatCode="_ * #,##0_ ;_ * \-#,##0_ ;_ * &quot;-&quot;_ ;_ @_ "/>
  </numFmts>
  <fonts count="30">
    <font>
      <sz val="10"/>
      <color theme="1"/>
      <name val="Calibri"/>
      <charset val="134"/>
      <scheme val="minor"/>
    </font>
    <font>
      <sz val="10"/>
      <color rgb="FF000000"/>
      <name val="Calibri"/>
      <charset val="134"/>
      <scheme val="minor"/>
    </font>
    <font>
      <sz val="10"/>
      <color rgb="FFF54A45"/>
      <name val="Calibri"/>
      <charset val="134"/>
      <scheme val="minor"/>
    </font>
    <font>
      <b/>
      <sz val="10"/>
      <color rgb="FF000000"/>
      <name val="Calibri"/>
      <charset val="134"/>
      <scheme val="minor"/>
    </font>
    <font>
      <sz val="10"/>
      <color rgb="FF000000"/>
      <name val="Calibri"/>
      <charset val="134"/>
    </font>
    <font>
      <sz val="11"/>
      <color rgb="FF000000"/>
      <name val="DengXian"/>
      <charset val="134"/>
    </font>
    <font>
      <sz val="11"/>
      <color theme="1"/>
      <name val="Calibri"/>
      <charset val="134"/>
    </font>
    <font>
      <sz val="10"/>
      <color rgb="FF000000"/>
      <name val="Droid Sans Fallback"/>
      <charset val="134"/>
    </font>
    <font>
      <sz val="11"/>
      <color rgb="FF000000"/>
      <name val="Calibri"/>
      <charset val="134"/>
    </font>
    <font>
      <u/>
      <sz val="11"/>
      <color rgb="FF0000FF"/>
      <name val="Calibri"/>
      <charset val="0"/>
      <scheme val="minor"/>
    </font>
    <font>
      <sz val="11"/>
      <color theme="1"/>
      <name val="Calibri"/>
      <charset val="134"/>
      <scheme val="minor"/>
    </font>
    <font>
      <sz val="11"/>
      <color theme="0"/>
      <name val="Calibri"/>
      <charset val="0"/>
      <scheme val="minor"/>
    </font>
    <font>
      <b/>
      <sz val="15"/>
      <color theme="3"/>
      <name val="Calibri"/>
      <charset val="134"/>
      <scheme val="minor"/>
    </font>
    <font>
      <b/>
      <sz val="13"/>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1"/>
      <color theme="3"/>
      <name val="Calibri"/>
      <charset val="134"/>
      <scheme val="minor"/>
    </font>
    <font>
      <b/>
      <sz val="11"/>
      <color rgb="FFFFFFFF"/>
      <name val="Calibri"/>
      <charset val="0"/>
      <scheme val="minor"/>
    </font>
    <font>
      <b/>
      <sz val="11"/>
      <color rgb="FF3F3F3F"/>
      <name val="Calibri"/>
      <charset val="0"/>
      <scheme val="minor"/>
    </font>
    <font>
      <sz val="11"/>
      <color rgb="FF9C0006"/>
      <name val="Calibri"/>
      <charset val="0"/>
      <scheme val="minor"/>
    </font>
    <font>
      <sz val="11"/>
      <color theme="1"/>
      <name val="Calibri"/>
      <charset val="0"/>
      <scheme val="minor"/>
    </font>
    <font>
      <sz val="11"/>
      <color rgb="FF9C6500"/>
      <name val="Calibri"/>
      <charset val="0"/>
      <scheme val="minor"/>
    </font>
    <font>
      <u/>
      <sz val="11"/>
      <color rgb="FF800080"/>
      <name val="Calibri"/>
      <charset val="0"/>
      <scheme val="minor"/>
    </font>
    <font>
      <sz val="11"/>
      <color rgb="FF3F3F76"/>
      <name val="Calibri"/>
      <charset val="0"/>
      <scheme val="minor"/>
    </font>
    <font>
      <b/>
      <sz val="11"/>
      <color rgb="FFFA7D00"/>
      <name val="Calibri"/>
      <charset val="0"/>
      <scheme val="minor"/>
    </font>
    <font>
      <b/>
      <sz val="11"/>
      <color theme="1"/>
      <name val="Calibri"/>
      <charset val="0"/>
      <scheme val="minor"/>
    </font>
    <font>
      <sz val="11"/>
      <color rgb="FFFA7D00"/>
      <name val="Calibri"/>
      <charset val="0"/>
      <scheme val="minor"/>
    </font>
    <font>
      <sz val="11"/>
      <color rgb="FF006100"/>
      <name val="Calibri"/>
      <charset val="0"/>
      <scheme val="minor"/>
    </font>
    <font>
      <sz val="10"/>
      <color rgb="FF000000"/>
      <name val="Arial"/>
      <charset val="134"/>
    </font>
  </fonts>
  <fills count="33">
    <fill>
      <patternFill patternType="none"/>
    </fill>
    <fill>
      <patternFill patternType="gray125"/>
    </fill>
    <fill>
      <patternFill patternType="solid">
        <fgColor theme="9"/>
        <bgColor indexed="64"/>
      </patternFill>
    </fill>
    <fill>
      <patternFill patternType="solid">
        <fgColor theme="6" tint="0.399975585192419"/>
        <bgColor indexed="64"/>
      </patternFill>
    </fill>
    <fill>
      <patternFill patternType="solid">
        <fgColor rgb="FFA5A5A5"/>
        <bgColor indexed="64"/>
      </patternFill>
    </fill>
    <fill>
      <patternFill patternType="solid">
        <fgColor theme="8" tint="0.399975585192419"/>
        <bgColor indexed="64"/>
      </patternFill>
    </fill>
    <fill>
      <patternFill patternType="solid">
        <fgColor rgb="FFF2F2F2"/>
        <bgColor indexed="64"/>
      </patternFill>
    </fill>
    <fill>
      <patternFill patternType="solid">
        <fgColor rgb="FFFFC7CE"/>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FFFFCC"/>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rgb="FFC6EFCE"/>
        <bgColor indexed="64"/>
      </patternFill>
    </fill>
    <fill>
      <patternFill patternType="solid">
        <fgColor theme="7"/>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6"/>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applyNumberFormat="0" applyFont="0" applyFill="0" applyBorder="0" applyProtection="0"/>
    <xf numFmtId="0" fontId="11" fillId="26" borderId="0" applyNumberFormat="0" applyBorder="0" applyAlignment="0" applyProtection="0">
      <alignment vertical="center"/>
    </xf>
    <xf numFmtId="0" fontId="21" fillId="9"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1" fillId="16" borderId="0" applyNumberFormat="0" applyBorder="0" applyAlignment="0" applyProtection="0">
      <alignment vertical="center"/>
    </xf>
    <xf numFmtId="0" fontId="21" fillId="24" borderId="0" applyNumberFormat="0" applyBorder="0" applyAlignment="0" applyProtection="0">
      <alignment vertical="center"/>
    </xf>
    <xf numFmtId="0" fontId="11" fillId="10" borderId="0" applyNumberFormat="0" applyBorder="0" applyAlignment="0" applyProtection="0">
      <alignment vertical="center"/>
    </xf>
    <xf numFmtId="0" fontId="11" fillId="27" borderId="0" applyNumberFormat="0" applyBorder="0" applyAlignment="0" applyProtection="0">
      <alignment vertical="center"/>
    </xf>
    <xf numFmtId="0" fontId="21" fillId="25" borderId="0" applyNumberFormat="0" applyBorder="0" applyAlignment="0" applyProtection="0">
      <alignment vertical="center"/>
    </xf>
    <xf numFmtId="0" fontId="11" fillId="29" borderId="0" applyNumberFormat="0" applyBorder="0" applyAlignment="0" applyProtection="0">
      <alignment vertical="center"/>
    </xf>
    <xf numFmtId="0" fontId="27" fillId="0" borderId="9" applyNumberFormat="0" applyFill="0" applyAlignment="0" applyProtection="0">
      <alignment vertical="center"/>
    </xf>
    <xf numFmtId="0" fontId="21" fillId="30" borderId="0" applyNumberFormat="0" applyBorder="0" applyAlignment="0" applyProtection="0">
      <alignment vertical="center"/>
    </xf>
    <xf numFmtId="0" fontId="11" fillId="22" borderId="0" applyNumberFormat="0" applyBorder="0" applyAlignment="0" applyProtection="0">
      <alignment vertical="center"/>
    </xf>
    <xf numFmtId="0" fontId="11" fillId="32" borderId="0" applyNumberFormat="0" applyBorder="0" applyAlignment="0" applyProtection="0">
      <alignment vertical="center"/>
    </xf>
    <xf numFmtId="0" fontId="21" fillId="20" borderId="0" applyNumberFormat="0" applyBorder="0" applyAlignment="0" applyProtection="0">
      <alignment vertical="center"/>
    </xf>
    <xf numFmtId="0" fontId="21" fillId="19" borderId="0" applyNumberFormat="0" applyBorder="0" applyAlignment="0" applyProtection="0">
      <alignment vertical="center"/>
    </xf>
    <xf numFmtId="0" fontId="11" fillId="17" borderId="0" applyNumberFormat="0" applyBorder="0" applyAlignment="0" applyProtection="0">
      <alignment vertical="center"/>
    </xf>
    <xf numFmtId="0" fontId="21" fillId="14" borderId="0" applyNumberFormat="0" applyBorder="0" applyAlignment="0" applyProtection="0">
      <alignment vertical="center"/>
    </xf>
    <xf numFmtId="0" fontId="21" fillId="13" borderId="0" applyNumberFormat="0" applyBorder="0" applyAlignment="0" applyProtection="0">
      <alignment vertical="center"/>
    </xf>
    <xf numFmtId="0" fontId="11" fillId="12" borderId="0" applyNumberFormat="0" applyBorder="0" applyAlignment="0" applyProtection="0">
      <alignment vertical="center"/>
    </xf>
    <xf numFmtId="0" fontId="22" fillId="11" borderId="0" applyNumberFormat="0" applyBorder="0" applyAlignment="0" applyProtection="0">
      <alignment vertical="center"/>
    </xf>
    <xf numFmtId="0" fontId="11" fillId="8" borderId="0" applyNumberFormat="0" applyBorder="0" applyAlignment="0" applyProtection="0">
      <alignment vertical="center"/>
    </xf>
    <xf numFmtId="0" fontId="20" fillId="7" borderId="0" applyNumberFormat="0" applyBorder="0" applyAlignment="0" applyProtection="0">
      <alignment vertical="center"/>
    </xf>
    <xf numFmtId="0" fontId="21" fillId="31" borderId="0" applyNumberFormat="0" applyBorder="0" applyAlignment="0" applyProtection="0">
      <alignment vertical="center"/>
    </xf>
    <xf numFmtId="0" fontId="26" fillId="0" borderId="7" applyNumberFormat="0" applyFill="0" applyAlignment="0" applyProtection="0">
      <alignment vertical="center"/>
    </xf>
    <xf numFmtId="0" fontId="19" fillId="6" borderId="5" applyNumberFormat="0" applyAlignment="0" applyProtection="0">
      <alignment vertical="center"/>
    </xf>
    <xf numFmtId="44" fontId="10" fillId="0" borderId="0" applyFont="0" applyFill="0" applyBorder="0" applyAlignment="0" applyProtection="0">
      <alignment vertical="center"/>
    </xf>
    <xf numFmtId="0" fontId="21" fillId="18" borderId="0" applyNumberFormat="0" applyBorder="0" applyAlignment="0" applyProtection="0">
      <alignment vertical="center"/>
    </xf>
    <xf numFmtId="0" fontId="10" fillId="21" borderId="8" applyNumberFormat="0" applyFont="0" applyAlignment="0" applyProtection="0">
      <alignment vertical="center"/>
    </xf>
    <xf numFmtId="0" fontId="24" fillId="15" borderId="6" applyNumberFormat="0" applyAlignment="0" applyProtection="0">
      <alignment vertical="center"/>
    </xf>
    <xf numFmtId="0" fontId="17" fillId="0" borderId="0" applyNumberFormat="0" applyFill="0" applyBorder="0" applyAlignment="0" applyProtection="0">
      <alignment vertical="center"/>
    </xf>
    <xf numFmtId="0" fontId="25" fillId="6" borderId="6" applyNumberFormat="0" applyAlignment="0" applyProtection="0">
      <alignment vertical="center"/>
    </xf>
    <xf numFmtId="0" fontId="28" fillId="28" borderId="0" applyNumberFormat="0" applyBorder="0" applyAlignment="0" applyProtection="0">
      <alignment vertical="center"/>
    </xf>
    <xf numFmtId="0" fontId="17" fillId="0" borderId="3" applyNumberFormat="0" applyFill="0" applyAlignment="0" applyProtection="0">
      <alignment vertical="center"/>
    </xf>
    <xf numFmtId="0" fontId="16" fillId="0" borderId="0" applyNumberFormat="0" applyFill="0" applyBorder="0" applyAlignment="0" applyProtection="0">
      <alignment vertical="center"/>
    </xf>
    <xf numFmtId="0" fontId="12" fillId="0" borderId="2" applyNumberFormat="0" applyFill="0" applyAlignment="0" applyProtection="0">
      <alignment vertical="center"/>
    </xf>
    <xf numFmtId="179" fontId="10" fillId="0" borderId="0" applyFont="0" applyFill="0" applyBorder="0" applyAlignment="0" applyProtection="0">
      <alignment vertical="center"/>
    </xf>
    <xf numFmtId="0" fontId="21" fillId="23" borderId="0" applyNumberFormat="0" applyBorder="0" applyAlignment="0" applyProtection="0">
      <alignment vertical="center"/>
    </xf>
    <xf numFmtId="0" fontId="15" fillId="0" borderId="0" applyNumberFormat="0" applyFill="0" applyBorder="0" applyAlignment="0" applyProtection="0">
      <alignment vertical="center"/>
    </xf>
    <xf numFmtId="42" fontId="10" fillId="0" borderId="0" applyFont="0" applyFill="0" applyBorder="0" applyAlignment="0" applyProtection="0">
      <alignment vertical="center"/>
    </xf>
    <xf numFmtId="0" fontId="1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3" fillId="0" borderId="2" applyNumberFormat="0" applyFill="0" applyAlignment="0" applyProtection="0">
      <alignment vertical="center"/>
    </xf>
    <xf numFmtId="178" fontId="10" fillId="0" borderId="0" applyFont="0" applyFill="0" applyBorder="0" applyAlignment="0" applyProtection="0">
      <alignment vertical="center"/>
    </xf>
    <xf numFmtId="0" fontId="18" fillId="4" borderId="4" applyNumberFormat="0" applyAlignment="0" applyProtection="0">
      <alignment vertical="center"/>
    </xf>
    <xf numFmtId="0" fontId="11" fillId="3" borderId="0" applyNumberFormat="0" applyBorder="0" applyAlignment="0" applyProtection="0">
      <alignment vertical="center"/>
    </xf>
    <xf numFmtId="9" fontId="10" fillId="0" borderId="0" applyFont="0" applyFill="0" applyBorder="0" applyAlignment="0" applyProtection="0">
      <alignment vertical="center"/>
    </xf>
    <xf numFmtId="0" fontId="9" fillId="0" borderId="0" applyNumberFormat="0" applyFill="0" applyBorder="0" applyAlignment="0" applyProtection="0">
      <alignment vertical="center"/>
    </xf>
  </cellStyleXfs>
  <cellXfs count="13">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xf numFmtId="177" fontId="5" fillId="0" borderId="0" xfId="0" applyNumberFormat="1" applyFont="1" applyAlignment="1"/>
    <xf numFmtId="0" fontId="6" fillId="0" borderId="1" xfId="0" applyFont="1" applyBorder="1"/>
    <xf numFmtId="58" fontId="6" fillId="0" borderId="1" xfId="0" applyNumberFormat="1" applyFont="1" applyBorder="1"/>
    <xf numFmtId="0" fontId="7" fillId="0" borderId="0" xfId="0" applyFont="1" applyAlignment="1">
      <alignment vertical="center"/>
    </xf>
    <xf numFmtId="0" fontId="0" fillId="0" borderId="1" xfId="0" applyBorder="1" applyAlignment="1">
      <alignment vertical="center"/>
    </xf>
    <xf numFmtId="0" fontId="8" fillId="0" borderId="0" xfId="0" applyFont="1" applyAlignment="1"/>
    <xf numFmtId="176" fontId="8" fillId="0" borderId="0" xfId="0" applyNumberFormat="1" applyFont="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0"/>
          <a:lstStyle/>
          <a:p>
            <a:pPr>
              <a:defRPr lang="en-US" sz="1400" b="1" i="0" u="none" strike="noStrike" kern="1200" spc="0" baseline="0">
                <a:solidFill>
                  <a:schemeClr val="tx1">
                    <a:lumMod val="65000"/>
                    <a:lumOff val="35000"/>
                  </a:schemeClr>
                </a:solidFill>
                <a:latin typeface="+mn-lt"/>
                <a:ea typeface="+mn-ea"/>
                <a:cs typeface="+mn-cs"/>
              </a:defRPr>
            </a:pPr>
            <a:r>
              <a:rPr lang="en-US" altLang="en-US" b="1" i="0" kern="0" spc="0" baseline="0"/>
              <a:t>郑州平台有效采集时长</a:t>
            </a:r>
            <a:endParaRPr lang="en-US" altLang="en-US" b="1" i="0" kern="0" spc="0" baseline="0"/>
          </a:p>
        </c:rich>
      </c:tx>
      <c:layout>
        <c:manualLayout>
          <c:xMode val="edge"/>
          <c:yMode val="edge"/>
          <c:x val="0"/>
          <c:y val="0"/>
        </c:manualLayout>
      </c:layout>
      <c:overlay val="0"/>
    </c:title>
    <c:autoTitleDeleted val="0"/>
    <c:plotArea>
      <c:layout/>
      <c:barChart>
        <c:barDir val="col"/>
        <c:grouping val="clustered"/>
        <c:varyColors val="0"/>
        <c:ser>
          <c:idx val="0"/>
          <c:order val="0"/>
          <c:tx>
            <c:strRef>
              <c:f>郑州平台!$AG$1</c:f>
              <c:strCache>
                <c:ptCount val="1"/>
                <c:pt idx="0">
                  <c:v>有效采集时长</c:v>
                </c:pt>
              </c:strCache>
            </c:strRef>
          </c:tx>
          <c:spPr>
            <a:solidFill>
              <a:srgbClr val="5383F1"/>
            </a:solidFill>
            <a:ln>
              <a:noFill/>
            </a:ln>
          </c:spPr>
          <c:invertIfNegative val="0"/>
          <c:dLbls>
            <c:spPr>
              <a:noFill/>
              <a:ln>
                <a:noFill/>
              </a:ln>
              <a:effectLst/>
            </c:spPr>
            <c:txPr>
              <a:bodyPr rot="0" spcFirstLastPara="0" vertOverflow="ellipsis" vert="horz" wrap="square" lIns="38100" tIns="19050" rIns="38100" bIns="19050" anchor="ctr" anchorCtr="0"/>
              <a:lstStyle/>
              <a:p>
                <a:pPr>
                  <a:defRPr lang="en-US" sz="900" b="1" i="0" u="none" strike="noStrike" kern="1200" spc="0" baseline="0">
                    <a:solidFill>
                      <a:srgbClr val="5383F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郑州平台!$E$2:$E$11</c:f>
              <c:strCache>
                <c:ptCount val="10"/>
                <c:pt idx="0">
                  <c:v>buttler</c:v>
                </c:pt>
                <c:pt idx="1">
                  <c:v>智元G1</c:v>
                </c:pt>
                <c:pt idx="2">
                  <c:v>青龙ROS2</c:v>
                </c:pt>
                <c:pt idx="3">
                  <c:v>智元A2</c:v>
                </c:pt>
                <c:pt idx="4">
                  <c:v>乐聚KUAVO</c:v>
                </c:pt>
                <c:pt idx="5">
                  <c:v>傅利叶GR2</c:v>
                </c:pt>
                <c:pt idx="6">
                  <c:v>buttler</c:v>
                </c:pt>
                <c:pt idx="7">
                  <c:v>buttler</c:v>
                </c:pt>
                <c:pt idx="8">
                  <c:v>buttler</c:v>
                </c:pt>
                <c:pt idx="9">
                  <c:v>buttler</c:v>
                </c:pt>
              </c:strCache>
            </c:strRef>
          </c:cat>
          <c:val>
            <c:numRef>
              <c:f>郑州平台!$AG$2:$AG$11</c:f>
              <c:numCache>
                <c:formatCode>General</c:formatCode>
                <c:ptCount val="10"/>
                <c:pt idx="0">
                  <c:v>0.01</c:v>
                </c:pt>
                <c:pt idx="1">
                  <c:v>0.6132</c:v>
                </c:pt>
                <c:pt idx="2">
                  <c:v>0.270769231</c:v>
                </c:pt>
                <c:pt idx="3">
                  <c:v>0.07</c:v>
                </c:pt>
                <c:pt idx="4">
                  <c:v>0.487963565</c:v>
                </c:pt>
                <c:pt idx="5">
                  <c:v>0.06012</c:v>
                </c:pt>
                <c:pt idx="6">
                  <c:v>0.394996426</c:v>
                </c:pt>
                <c:pt idx="7">
                  <c:v>0.303684551</c:v>
                </c:pt>
                <c:pt idx="8">
                  <c:v>0.338038726</c:v>
                </c:pt>
                <c:pt idx="9">
                  <c:v>0.3076</c:v>
                </c:pt>
              </c:numCache>
            </c:numRef>
          </c:val>
        </c:ser>
        <c:dLbls>
          <c:showLegendKey val="0"/>
          <c:showVal val="0"/>
          <c:showCatName val="0"/>
          <c:showSerName val="0"/>
          <c:showPercent val="0"/>
          <c:showBubbleSize val="0"/>
        </c:dLbls>
        <c:gapWidth val="150"/>
        <c:overlap val="-27"/>
        <c:axId val="754001152"/>
        <c:axId val="753999904"/>
      </c:barChart>
      <c:catAx>
        <c:axId val="754001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3999904"/>
        <c:crosses val="min"/>
        <c:auto val="1"/>
        <c:lblAlgn val="ctr"/>
        <c:lblOffset val="100"/>
        <c:noMultiLvlLbl val="0"/>
      </c:catAx>
      <c:valAx>
        <c:axId val="753999904"/>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4001152"/>
        <c:crosses val="min"/>
        <c:crossBetween val="between"/>
      </c:valAx>
      <c:spPr>
        <a:noFill/>
        <a:ln>
          <a:noFill/>
        </a:ln>
      </c:spPr>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0"/>
          <a:lstStyle/>
          <a:p>
            <a:pPr>
              <a:defRPr lang="en-US" sz="1400" b="1" i="0" u="none" strike="noStrike" kern="1200" spc="0" baseline="0">
                <a:solidFill>
                  <a:schemeClr val="tx1">
                    <a:lumMod val="65000"/>
                    <a:lumOff val="35000"/>
                  </a:schemeClr>
                </a:solidFill>
                <a:latin typeface="+mn-lt"/>
                <a:ea typeface="+mn-ea"/>
                <a:cs typeface="+mn-cs"/>
              </a:defRPr>
            </a:pPr>
            <a:r>
              <a:rPr lang="en-US" altLang="en-US" b="1" i="0" kern="0" spc="0" baseline="0"/>
              <a:t>重点研发有效采集时长</a:t>
            </a:r>
            <a:endParaRPr lang="en-US" altLang="en-US" b="1" i="0" kern="0" spc="0" baseline="0"/>
          </a:p>
        </c:rich>
      </c:tx>
      <c:layout>
        <c:manualLayout>
          <c:xMode val="edge"/>
          <c:yMode val="edge"/>
          <c:x val="0"/>
          <c:y val="0"/>
        </c:manualLayout>
      </c:layout>
      <c:overlay val="0"/>
    </c:title>
    <c:autoTitleDeleted val="0"/>
    <c:plotArea>
      <c:layout/>
      <c:barChart>
        <c:barDir val="col"/>
        <c:grouping val="clustered"/>
        <c:varyColors val="0"/>
        <c:ser>
          <c:idx val="0"/>
          <c:order val="0"/>
          <c:tx>
            <c:strRef>
              <c:f>'重点研发-上海'!$AG$1</c:f>
              <c:strCache>
                <c:ptCount val="1"/>
                <c:pt idx="0">
                  <c:v>有效采集时长</c:v>
                </c:pt>
              </c:strCache>
            </c:strRef>
          </c:tx>
          <c:spPr>
            <a:solidFill>
              <a:srgbClr val="5383F1"/>
            </a:solidFill>
            <a:ln>
              <a:noFill/>
            </a:ln>
          </c:spPr>
          <c:invertIfNegative val="0"/>
          <c:dLbls>
            <c:spPr>
              <a:noFill/>
              <a:ln>
                <a:noFill/>
              </a:ln>
              <a:effectLst/>
            </c:spPr>
            <c:txPr>
              <a:bodyPr rot="0" spcFirstLastPara="0" vertOverflow="ellipsis" vert="horz" wrap="square" lIns="38100" tIns="19050" rIns="38100" bIns="19050" anchor="ctr" anchorCtr="0"/>
              <a:lstStyle/>
              <a:p>
                <a:pPr>
                  <a:defRPr lang="en-US" sz="900" b="1" i="0" u="none" strike="noStrike" kern="1200" spc="0" baseline="0">
                    <a:solidFill>
                      <a:srgbClr val="5383F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'重点研发-上海'!$E$2</c:f>
              <c:strCache>
                <c:ptCount val="1"/>
                <c:pt idx="0">
                  <c:v>智元G1</c:v>
                </c:pt>
              </c:strCache>
            </c:strRef>
          </c:cat>
          <c:val>
            <c:numRef>
              <c:f>'重点研发-上海'!$AG$2</c:f>
              <c:numCache>
                <c:formatCode>General</c:formatCode>
                <c:ptCount val="1"/>
                <c:pt idx="0">
                  <c:v>0.72</c:v>
                </c:pt>
              </c:numCache>
            </c:numRef>
          </c:val>
        </c:ser>
        <c:dLbls>
          <c:showLegendKey val="0"/>
          <c:showVal val="0"/>
          <c:showCatName val="0"/>
          <c:showSerName val="0"/>
          <c:showPercent val="0"/>
          <c:showBubbleSize val="0"/>
        </c:dLbls>
        <c:gapWidth val="150"/>
        <c:overlap val="-27"/>
        <c:axId val="754001152"/>
        <c:axId val="753999904"/>
      </c:barChart>
      <c:catAx>
        <c:axId val="754001152"/>
        <c:scaling>
          <c:orientation val="minMax"/>
        </c:scaling>
        <c:delete val="0"/>
        <c:axPos val="b"/>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3999904"/>
        <c:crosses val="min"/>
        <c:auto val="1"/>
        <c:lblAlgn val="ctr"/>
        <c:lblOffset val="100"/>
        <c:noMultiLvlLbl val="0"/>
      </c:catAx>
      <c:valAx>
        <c:axId val="753999904"/>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4001152"/>
        <c:crosses val="min"/>
        <c:crossBetween val="between"/>
      </c:valAx>
      <c:spPr>
        <a:noFill/>
        <a:ln>
          <a:noFill/>
        </a:ln>
      </c:spPr>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0"/>
          <a:lstStyle/>
          <a:p>
            <a:pPr>
              <a:defRPr lang="en-US" sz="1400" b="1" i="0" u="none" strike="noStrike" kern="1200" spc="0" baseline="0">
                <a:solidFill>
                  <a:schemeClr val="tx1">
                    <a:lumMod val="65000"/>
                    <a:lumOff val="35000"/>
                  </a:schemeClr>
                </a:solidFill>
                <a:latin typeface="+mn-lt"/>
                <a:ea typeface="+mn-ea"/>
                <a:cs typeface="+mn-cs"/>
              </a:defRPr>
            </a:pPr>
            <a:r>
              <a:rPr lang="en-US" altLang="en-US" b="1" i="0" kern="0" spc="0" baseline="0"/>
              <a:t>模型内部需求采集时长（小时）</a:t>
            </a:r>
            <a:endParaRPr lang="en-US" altLang="en-US" b="1" i="0" kern="0" spc="0" baseline="0"/>
          </a:p>
        </c:rich>
      </c:tx>
      <c:layout>
        <c:manualLayout>
          <c:xMode val="edge"/>
          <c:yMode val="edge"/>
          <c:x val="0"/>
          <c:y val="0"/>
        </c:manualLayout>
      </c:layout>
      <c:overlay val="0"/>
    </c:title>
    <c:autoTitleDeleted val="0"/>
    <c:plotArea>
      <c:layout/>
      <c:barChart>
        <c:barDir val="col"/>
        <c:grouping val="clustered"/>
        <c:varyColors val="0"/>
        <c:ser>
          <c:idx val="0"/>
          <c:order val="0"/>
          <c:tx>
            <c:strRef>
              <c:f>'模型内部需求-上海'!$C$1</c:f>
              <c:strCache>
                <c:ptCount val="1"/>
                <c:pt idx="0">
                  <c:v>采集时长（小时）</c:v>
                </c:pt>
              </c:strCache>
            </c:strRef>
          </c:tx>
          <c:spPr>
            <a:solidFill>
              <a:srgbClr val="5383F1"/>
            </a:solidFill>
            <a:ln>
              <a:noFill/>
            </a:ln>
          </c:spPr>
          <c:invertIfNegative val="0"/>
          <c:dLbls>
            <c:spPr>
              <a:noFill/>
              <a:ln>
                <a:noFill/>
              </a:ln>
              <a:effectLst/>
            </c:spPr>
            <c:txPr>
              <a:bodyPr rot="0" spcFirstLastPara="0" vertOverflow="ellipsis" vert="horz" wrap="square" lIns="38100" tIns="19050" rIns="38100" bIns="19050" anchor="ctr" anchorCtr="0"/>
              <a:lstStyle/>
              <a:p>
                <a:pPr>
                  <a:defRPr lang="en-US" sz="900" b="1" i="0" u="none" strike="noStrike" kern="1200" spc="0" baseline="0">
                    <a:solidFill>
                      <a:srgbClr val="5383F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'模型内部需求-上海'!$I$2:$I$14</c:f>
              <c:strCache>
                <c:ptCount val="13"/>
                <c:pt idx="0">
                  <c:v>智元A2</c:v>
                </c:pt>
                <c:pt idx="1">
                  <c:v>方舟无限arx-acone</c:v>
                </c:pt>
                <c:pt idx="2">
                  <c:v>青龙</c:v>
                </c:pt>
                <c:pt idx="3">
                  <c:v>傅利叶GR2</c:v>
                </c:pt>
                <c:pt idx="4">
                  <c:v>智元G1</c:v>
                </c:pt>
                <c:pt idx="5">
                  <c:v>灵龙-h</c:v>
                </c:pt>
                <c:pt idx="6">
                  <c:v>星尘智能S1</c:v>
                </c:pt>
                <c:pt idx="7">
                  <c:v>UR5e</c:v>
                </c:pt>
                <c:pt idx="8">
                  <c:v>天机</c:v>
                </c:pt>
                <c:pt idx="9">
                  <c:v>Dwheel</c:v>
                </c:pt>
                <c:pt idx="10">
                  <c:v>松灵Aloha</c:v>
                </c:pt>
                <c:pt idx="11">
                  <c:v>乐聚KUAVO</c:v>
                </c:pt>
                <c:pt idx="12">
                  <c:v>星海图R1</c:v>
                </c:pt>
              </c:strCache>
            </c:strRef>
          </c:cat>
          <c:val>
            <c:numRef>
              <c:f>'模型内部需求-上海'!$C$2:$C$14</c:f>
              <c:numCache>
                <c:formatCode>General</c:formatCode>
                <c:ptCount val="13"/>
                <c:pt idx="0">
                  <c:v>1.61</c:v>
                </c:pt>
                <c:pt idx="1">
                  <c:v>6.53</c:v>
                </c:pt>
                <c:pt idx="2">
                  <c:v>1.14</c:v>
                </c:pt>
                <c:pt idx="3">
                  <c:v>0.2</c:v>
                </c:pt>
                <c:pt idx="4">
                  <c:v>1.16</c:v>
                </c:pt>
                <c:pt idx="5">
                  <c:v>1.05</c:v>
                </c:pt>
                <c:pt idx="6">
                  <c:v>0.4</c:v>
                </c:pt>
                <c:pt idx="7">
                  <c:v>0.79</c:v>
                </c:pt>
                <c:pt idx="8">
                  <c:v>0.71</c:v>
                </c:pt>
                <c:pt idx="9">
                  <c:v>0.93</c:v>
                </c:pt>
                <c:pt idx="10">
                  <c:v>0.88</c:v>
                </c:pt>
                <c:pt idx="11">
                  <c:v>0.79</c:v>
                </c:pt>
                <c:pt idx="12">
                  <c:v>0.55</c:v>
                </c:pt>
              </c:numCache>
            </c:numRef>
          </c:val>
        </c:ser>
        <c:dLbls>
          <c:showLegendKey val="0"/>
          <c:showVal val="0"/>
          <c:showCatName val="0"/>
          <c:showSerName val="0"/>
          <c:showPercent val="0"/>
          <c:showBubbleSize val="0"/>
        </c:dLbls>
        <c:gapWidth val="150"/>
        <c:overlap val="-27"/>
        <c:axId val="754001152"/>
        <c:axId val="753999904"/>
      </c:barChart>
      <c:catAx>
        <c:axId val="754001152"/>
        <c:scaling>
          <c:orientation val="minMax"/>
        </c:scaling>
        <c:delete val="0"/>
        <c:axPos val="b"/>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3999904"/>
        <c:crosses val="min"/>
        <c:auto val="1"/>
        <c:lblAlgn val="ctr"/>
        <c:lblOffset val="100"/>
        <c:noMultiLvlLbl val="0"/>
      </c:catAx>
      <c:valAx>
        <c:axId val="753999904"/>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4001152"/>
        <c:crosses val="min"/>
        <c:crossBetween val="between"/>
      </c:valAx>
      <c:spPr>
        <a:noFill/>
        <a:ln>
          <a:noFill/>
        </a:ln>
      </c:spPr>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4" Type="http://schemas.openxmlformats.org/officeDocument/2006/relationships/image" Target="../media/image1.jpeg"/><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12</xdr:col>
      <xdr:colOff>38100</xdr:colOff>
      <xdr:row>8</xdr:row>
      <xdr:rowOff>38100</xdr:rowOff>
    </xdr:from>
    <xdr:to>
      <xdr:col>13</xdr:col>
      <xdr:colOff>-38100</xdr:colOff>
      <xdr:row>9</xdr:row>
      <xdr:rowOff>-38100</xdr:rowOff>
    </xdr:to>
    <xdr:pic>
      <xdr:nvPicPr>
        <xdr:cNvPr id="2" name="Picture 2" descr="UlAmYm"/>
        <xdr:cNvPicPr/>
      </xdr:nvPicPr>
      <xdr:blipFill>
        <a:blip r:embed="rId4"/>
        <a:stretch>
          <a:fillRect/>
        </a:stretch>
      </xdr:blipFill>
      <xdr:spPr>
        <a:xfrm>
          <a:off x="11239500" y="1333500"/>
          <a:ext cx="2924175" cy="932815"/>
        </a:xfrm>
        <a:prstGeom prst="rect">
          <a:avLst/>
        </a:prstGeom>
      </xdr:spPr>
    </xdr:pic>
    <xdr:clientData fLocksWithSheet="0"/>
  </xdr:twoCellAnchor>
  <xdr:twoCellAnchor>
    <xdr:from>
      <xdr:col>0</xdr:col>
      <xdr:colOff>0</xdr:colOff>
      <xdr:row>0</xdr:row>
      <xdr:rowOff>0</xdr:rowOff>
    </xdr:from>
    <xdr:to>
      <xdr:col>9</xdr:col>
      <xdr:colOff>257175</xdr:colOff>
      <xdr:row>7</xdr:row>
      <xdr:rowOff>47625</xdr:rowOff>
    </xdr:to>
    <xdr:graphicFrame>
      <xdr:nvGraphicFramePr>
        <xdr:cNvPr id="3" name="Chart 3"/>
        <xdr:cNvGraphicFramePr/>
      </xdr:nvGraphicFramePr>
      <xdr:xfrm>
        <a:off x="0" y="0"/>
        <a:ext cx="8658225" cy="11811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676275</xdr:colOff>
      <xdr:row>0</xdr:row>
      <xdr:rowOff>0</xdr:rowOff>
    </xdr:from>
    <xdr:to>
      <xdr:col>12</xdr:col>
      <xdr:colOff>257175</xdr:colOff>
      <xdr:row>7</xdr:row>
      <xdr:rowOff>114300</xdr:rowOff>
    </xdr:to>
    <xdr:graphicFrame>
      <xdr:nvGraphicFramePr>
        <xdr:cNvPr id="4" name="Chart 4"/>
        <xdr:cNvGraphicFramePr/>
      </xdr:nvGraphicFramePr>
      <xdr:xfrm>
        <a:off x="9077325" y="0"/>
        <a:ext cx="2381250" cy="12477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38100</xdr:colOff>
      <xdr:row>7</xdr:row>
      <xdr:rowOff>19050</xdr:rowOff>
    </xdr:from>
    <xdr:to>
      <xdr:col>10</xdr:col>
      <xdr:colOff>971550</xdr:colOff>
      <xdr:row>11</xdr:row>
      <xdr:rowOff>19050</xdr:rowOff>
    </xdr:to>
    <xdr:graphicFrame>
      <xdr:nvGraphicFramePr>
        <xdr:cNvPr id="5" name="Chart 5"/>
        <xdr:cNvGraphicFramePr/>
      </xdr:nvGraphicFramePr>
      <xdr:xfrm>
        <a:off x="38100" y="1152525"/>
        <a:ext cx="10229850" cy="1574165"/>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12"/>
  <sheetViews>
    <sheetView zoomScale="130" zoomScaleNormal="130" workbookViewId="0">
      <pane xSplit="1" ySplit="1" topLeftCell="B2" activePane="bottomRight" state="frozen"/>
      <selection/>
      <selection pane="topRight"/>
      <selection pane="bottomLeft"/>
      <selection pane="bottomRight" activeCell="E7" sqref="E7"/>
    </sheetView>
  </sheetViews>
  <sheetFormatPr defaultColWidth="14" defaultRowHeight="12.75"/>
  <cols>
    <col min="11" max="11" width="14.5714285714286"/>
    <col min="20" max="20" width="18.5714285714286"/>
    <col min="22" max="22" width="18.5714285714286"/>
    <col min="33" max="33" width="14.5714285714286"/>
  </cols>
  <sheetData>
    <row r="1" ht="14.25" spans="1:3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row>
    <row r="2" ht="14.25" spans="1:33">
      <c r="A2" s="11" t="s">
        <v>33</v>
      </c>
      <c r="B2" s="11" t="s">
        <v>34</v>
      </c>
      <c r="C2" s="11" t="s">
        <v>35</v>
      </c>
      <c r="D2" s="11" t="s">
        <v>36</v>
      </c>
      <c r="E2" s="11" t="s">
        <v>37</v>
      </c>
      <c r="F2" s="11" t="s">
        <v>38</v>
      </c>
      <c r="G2" s="11" t="s">
        <v>39</v>
      </c>
      <c r="H2" s="11" t="s">
        <v>40</v>
      </c>
      <c r="I2" s="11" t="s">
        <v>41</v>
      </c>
      <c r="J2" s="11">
        <v>4</v>
      </c>
      <c r="K2" s="11">
        <v>15</v>
      </c>
      <c r="L2" s="11" t="s">
        <v>42</v>
      </c>
      <c r="M2" s="11" t="s">
        <v>43</v>
      </c>
      <c r="N2" s="11" t="s">
        <v>44</v>
      </c>
      <c r="O2" s="11" t="s">
        <v>45</v>
      </c>
      <c r="P2" s="11"/>
      <c r="Q2" s="11" t="s">
        <v>46</v>
      </c>
      <c r="R2" s="11"/>
      <c r="S2" s="11"/>
      <c r="T2" s="12">
        <v>46149.679537037</v>
      </c>
      <c r="U2" s="11" t="s">
        <v>41</v>
      </c>
      <c r="V2" s="12">
        <v>46151.4297916667</v>
      </c>
      <c r="W2" s="11" t="s">
        <v>47</v>
      </c>
      <c r="X2" s="11">
        <v>2</v>
      </c>
      <c r="Y2" s="11">
        <v>2</v>
      </c>
      <c r="Z2" s="11">
        <v>0</v>
      </c>
      <c r="AA2" s="11">
        <v>2</v>
      </c>
      <c r="AB2" s="11">
        <v>0</v>
      </c>
      <c r="AC2" s="11">
        <v>2</v>
      </c>
      <c r="AD2" s="11">
        <v>0</v>
      </c>
      <c r="AE2" s="11">
        <v>0</v>
      </c>
      <c r="AF2" s="11">
        <v>0.01</v>
      </c>
      <c r="AG2" s="11">
        <v>0.01</v>
      </c>
    </row>
    <row r="3" ht="14.25" spans="1:33">
      <c r="A3" s="11" t="s">
        <v>48</v>
      </c>
      <c r="B3" s="11" t="s">
        <v>49</v>
      </c>
      <c r="C3" s="11" t="s">
        <v>50</v>
      </c>
      <c r="D3" s="11" t="s">
        <v>51</v>
      </c>
      <c r="E3" s="11" t="s">
        <v>52</v>
      </c>
      <c r="F3" s="11" t="s">
        <v>38</v>
      </c>
      <c r="G3" s="11" t="s">
        <v>39</v>
      </c>
      <c r="H3" s="11" t="s">
        <v>53</v>
      </c>
      <c r="I3" s="11" t="s">
        <v>54</v>
      </c>
      <c r="J3" s="11">
        <v>1000</v>
      </c>
      <c r="K3" s="11">
        <v>0.06</v>
      </c>
      <c r="L3" s="11" t="s">
        <v>55</v>
      </c>
      <c r="M3" s="11" t="s">
        <v>56</v>
      </c>
      <c r="N3" s="11" t="s">
        <v>57</v>
      </c>
      <c r="O3" s="11" t="s">
        <v>58</v>
      </c>
      <c r="P3" s="11"/>
      <c r="Q3" s="11" t="s">
        <v>59</v>
      </c>
      <c r="R3" s="11" t="s">
        <v>60</v>
      </c>
      <c r="S3" s="11"/>
      <c r="T3" s="12">
        <v>46128.3615972222</v>
      </c>
      <c r="U3" s="11" t="s">
        <v>61</v>
      </c>
      <c r="V3" s="12">
        <v>46141.4514236111</v>
      </c>
      <c r="W3" s="11" t="s">
        <v>47</v>
      </c>
      <c r="X3" s="11">
        <v>1000</v>
      </c>
      <c r="Y3" s="11">
        <v>1000</v>
      </c>
      <c r="Z3" s="11">
        <v>8</v>
      </c>
      <c r="AA3" s="11">
        <v>992</v>
      </c>
      <c r="AB3" s="11">
        <v>500</v>
      </c>
      <c r="AC3" s="11">
        <v>992</v>
      </c>
      <c r="AD3" s="11">
        <v>494</v>
      </c>
      <c r="AE3" s="11">
        <v>6</v>
      </c>
      <c r="AF3" s="11">
        <v>10.22</v>
      </c>
      <c r="AG3" s="11">
        <v>0.6132</v>
      </c>
    </row>
    <row r="4" ht="14.25" spans="1:33">
      <c r="A4" s="11" t="s">
        <v>62</v>
      </c>
      <c r="B4" s="11" t="s">
        <v>63</v>
      </c>
      <c r="C4" s="11" t="s">
        <v>50</v>
      </c>
      <c r="D4" s="11" t="s">
        <v>64</v>
      </c>
      <c r="E4" s="11" t="s">
        <v>65</v>
      </c>
      <c r="F4" s="11" t="s">
        <v>38</v>
      </c>
      <c r="G4" s="11" t="s">
        <v>39</v>
      </c>
      <c r="H4" s="11" t="s">
        <v>66</v>
      </c>
      <c r="I4" s="11" t="s">
        <v>67</v>
      </c>
      <c r="J4" s="11">
        <v>780</v>
      </c>
      <c r="K4" s="11">
        <v>0.076923077</v>
      </c>
      <c r="L4" s="11" t="s">
        <v>68</v>
      </c>
      <c r="M4" s="11" t="s">
        <v>69</v>
      </c>
      <c r="N4" s="11" t="s">
        <v>70</v>
      </c>
      <c r="O4" s="11" t="s">
        <v>71</v>
      </c>
      <c r="P4" s="11"/>
      <c r="Q4" s="11" t="s">
        <v>46</v>
      </c>
      <c r="R4" s="11"/>
      <c r="S4" s="11"/>
      <c r="T4" s="12">
        <v>45966.4116087963</v>
      </c>
      <c r="U4" s="11" t="s">
        <v>72</v>
      </c>
      <c r="V4" s="12">
        <v>46080.6810648148</v>
      </c>
      <c r="W4" s="11" t="s">
        <v>47</v>
      </c>
      <c r="X4" s="11">
        <v>780</v>
      </c>
      <c r="Y4" s="11">
        <v>780</v>
      </c>
      <c r="Z4" s="11">
        <v>0</v>
      </c>
      <c r="AA4" s="11">
        <v>780</v>
      </c>
      <c r="AB4" s="11">
        <v>780</v>
      </c>
      <c r="AC4" s="11">
        <v>780</v>
      </c>
      <c r="AD4" s="11">
        <v>696</v>
      </c>
      <c r="AE4" s="11">
        <v>84</v>
      </c>
      <c r="AF4" s="11">
        <v>3.52</v>
      </c>
      <c r="AG4" s="11">
        <v>0.270769231</v>
      </c>
    </row>
    <row r="5" ht="14.25" spans="1:33">
      <c r="A5" s="11" t="s">
        <v>73</v>
      </c>
      <c r="B5" s="11" t="s">
        <v>74</v>
      </c>
      <c r="C5" s="11" t="s">
        <v>50</v>
      </c>
      <c r="D5" s="11" t="s">
        <v>75</v>
      </c>
      <c r="E5" s="11" t="s">
        <v>76</v>
      </c>
      <c r="F5" s="11" t="s">
        <v>77</v>
      </c>
      <c r="G5" s="11" t="s">
        <v>39</v>
      </c>
      <c r="H5" s="11" t="s">
        <v>78</v>
      </c>
      <c r="I5" s="11" t="s">
        <v>54</v>
      </c>
      <c r="J5" s="11">
        <v>22</v>
      </c>
      <c r="K5" s="11">
        <v>2.727272727</v>
      </c>
      <c r="L5" s="11" t="s">
        <v>79</v>
      </c>
      <c r="M5" s="11" t="s">
        <v>80</v>
      </c>
      <c r="N5" s="11" t="s">
        <v>81</v>
      </c>
      <c r="O5" s="11" t="s">
        <v>45</v>
      </c>
      <c r="P5" s="11"/>
      <c r="Q5" s="11" t="s">
        <v>46</v>
      </c>
      <c r="R5" s="11"/>
      <c r="S5" s="11"/>
      <c r="T5" s="12">
        <v>45951.4334722222</v>
      </c>
      <c r="U5" s="11" t="s">
        <v>61</v>
      </c>
      <c r="V5" s="12">
        <v>46080.6789699074</v>
      </c>
      <c r="W5" s="11" t="s">
        <v>47</v>
      </c>
      <c r="X5" s="11">
        <v>22</v>
      </c>
      <c r="Y5" s="11">
        <v>22</v>
      </c>
      <c r="Z5" s="11">
        <v>0</v>
      </c>
      <c r="AA5" s="11">
        <v>0</v>
      </c>
      <c r="AB5" s="11">
        <v>22</v>
      </c>
      <c r="AC5" s="11">
        <v>22</v>
      </c>
      <c r="AD5" s="11">
        <v>15</v>
      </c>
      <c r="AE5" s="11">
        <v>7</v>
      </c>
      <c r="AF5" s="11">
        <v>0.07</v>
      </c>
      <c r="AG5" s="11">
        <v>0.07</v>
      </c>
    </row>
    <row r="6" ht="14.25" spans="1:33">
      <c r="A6" s="11" t="s">
        <v>82</v>
      </c>
      <c r="B6" s="11" t="s">
        <v>83</v>
      </c>
      <c r="C6" s="11" t="s">
        <v>50</v>
      </c>
      <c r="D6" s="11" t="s">
        <v>84</v>
      </c>
      <c r="E6" s="11" t="s">
        <v>85</v>
      </c>
      <c r="F6" s="11" t="s">
        <v>38</v>
      </c>
      <c r="G6" s="11" t="s">
        <v>39</v>
      </c>
      <c r="H6" s="11" t="s">
        <v>86</v>
      </c>
      <c r="I6" s="11" t="s">
        <v>87</v>
      </c>
      <c r="J6" s="11">
        <v>3074</v>
      </c>
      <c r="K6" s="11">
        <v>0.019518543</v>
      </c>
      <c r="L6" s="11" t="s">
        <v>88</v>
      </c>
      <c r="M6" s="11" t="s">
        <v>89</v>
      </c>
      <c r="N6" s="11" t="s">
        <v>90</v>
      </c>
      <c r="O6" s="11" t="s">
        <v>91</v>
      </c>
      <c r="P6" s="11"/>
      <c r="Q6" s="11" t="s">
        <v>46</v>
      </c>
      <c r="R6" s="11" t="s">
        <v>92</v>
      </c>
      <c r="S6" s="11"/>
      <c r="T6" s="12">
        <v>45944.4680208333</v>
      </c>
      <c r="U6" s="11" t="s">
        <v>93</v>
      </c>
      <c r="V6" s="12">
        <v>46080.6783449074</v>
      </c>
      <c r="W6" s="11" t="s">
        <v>47</v>
      </c>
      <c r="X6" s="11">
        <v>3074</v>
      </c>
      <c r="Y6" s="11">
        <v>3088</v>
      </c>
      <c r="Z6" s="11">
        <v>49</v>
      </c>
      <c r="AA6" s="11">
        <v>0</v>
      </c>
      <c r="AB6" s="11">
        <v>3025</v>
      </c>
      <c r="AC6" s="11">
        <v>3025</v>
      </c>
      <c r="AD6" s="11">
        <v>2951</v>
      </c>
      <c r="AE6" s="11">
        <v>74</v>
      </c>
      <c r="AF6" s="11">
        <v>25</v>
      </c>
      <c r="AG6" s="11">
        <v>0.487963565</v>
      </c>
    </row>
    <row r="7" ht="14.25" spans="1:33">
      <c r="A7" s="11" t="s">
        <v>94</v>
      </c>
      <c r="B7" s="11" t="s">
        <v>95</v>
      </c>
      <c r="C7" s="11"/>
      <c r="D7" s="11" t="s">
        <v>96</v>
      </c>
      <c r="E7" s="11" t="s">
        <v>97</v>
      </c>
      <c r="F7" s="11" t="s">
        <v>77</v>
      </c>
      <c r="G7" s="11" t="s">
        <v>39</v>
      </c>
      <c r="H7" s="11" t="s">
        <v>98</v>
      </c>
      <c r="I7" s="11" t="s">
        <v>99</v>
      </c>
      <c r="J7" s="11">
        <v>5000</v>
      </c>
      <c r="K7" s="11">
        <v>0.012</v>
      </c>
      <c r="L7" s="11" t="s">
        <v>100</v>
      </c>
      <c r="M7" s="11" t="s">
        <v>101</v>
      </c>
      <c r="N7" s="11" t="s">
        <v>102</v>
      </c>
      <c r="O7" s="11" t="s">
        <v>71</v>
      </c>
      <c r="P7" s="11"/>
      <c r="Q7" s="11"/>
      <c r="R7" s="11"/>
      <c r="S7" s="11"/>
      <c r="T7" s="12">
        <v>45944.3890162037</v>
      </c>
      <c r="U7" s="11" t="s">
        <v>93</v>
      </c>
      <c r="V7" s="12">
        <v>45993.6981018518</v>
      </c>
      <c r="W7" s="11" t="s">
        <v>47</v>
      </c>
      <c r="X7" s="11">
        <v>1408</v>
      </c>
      <c r="Y7" s="11">
        <v>1409</v>
      </c>
      <c r="Z7" s="11">
        <v>1</v>
      </c>
      <c r="AA7" s="11">
        <v>238</v>
      </c>
      <c r="AB7" s="11">
        <v>733</v>
      </c>
      <c r="AC7" s="11">
        <v>1407</v>
      </c>
      <c r="AD7" s="11">
        <v>71</v>
      </c>
      <c r="AE7" s="11">
        <v>662</v>
      </c>
      <c r="AF7" s="11">
        <v>5.01</v>
      </c>
      <c r="AG7" s="11">
        <v>0.06012</v>
      </c>
    </row>
    <row r="8" ht="14.25" spans="1:33">
      <c r="A8" s="11" t="s">
        <v>103</v>
      </c>
      <c r="B8" s="11" t="s">
        <v>104</v>
      </c>
      <c r="C8" s="11" t="s">
        <v>50</v>
      </c>
      <c r="D8" s="11" t="s">
        <v>105</v>
      </c>
      <c r="E8" s="11" t="s">
        <v>37</v>
      </c>
      <c r="F8" s="11" t="s">
        <v>38</v>
      </c>
      <c r="G8" s="11" t="s">
        <v>39</v>
      </c>
      <c r="H8" s="11" t="s">
        <v>40</v>
      </c>
      <c r="I8" s="11" t="s">
        <v>40</v>
      </c>
      <c r="J8" s="11">
        <v>1399</v>
      </c>
      <c r="K8" s="11">
        <v>0.042887777</v>
      </c>
      <c r="L8" s="11" t="s">
        <v>106</v>
      </c>
      <c r="M8" s="11" t="s">
        <v>107</v>
      </c>
      <c r="N8" s="11" t="s">
        <v>108</v>
      </c>
      <c r="O8" s="11" t="s">
        <v>45</v>
      </c>
      <c r="P8" s="11"/>
      <c r="Q8" s="11" t="s">
        <v>46</v>
      </c>
      <c r="R8" s="11"/>
      <c r="S8" s="11"/>
      <c r="T8" s="12">
        <v>45939.380775463</v>
      </c>
      <c r="U8" s="11" t="s">
        <v>40</v>
      </c>
      <c r="V8" s="12">
        <v>46080.6783680556</v>
      </c>
      <c r="W8" s="11" t="s">
        <v>47</v>
      </c>
      <c r="X8" s="11">
        <v>1399</v>
      </c>
      <c r="Y8" s="11">
        <v>1400</v>
      </c>
      <c r="Z8" s="11">
        <v>4</v>
      </c>
      <c r="AA8" s="11">
        <v>0</v>
      </c>
      <c r="AB8" s="11">
        <v>1395</v>
      </c>
      <c r="AC8" s="11">
        <v>1395</v>
      </c>
      <c r="AD8" s="11">
        <v>1226</v>
      </c>
      <c r="AE8" s="11">
        <v>169</v>
      </c>
      <c r="AF8" s="11">
        <v>9.21</v>
      </c>
      <c r="AG8" s="11">
        <v>0.394996426</v>
      </c>
    </row>
    <row r="9" ht="14.25" spans="1:33">
      <c r="A9" s="11" t="s">
        <v>109</v>
      </c>
      <c r="B9" s="11" t="s">
        <v>104</v>
      </c>
      <c r="C9" s="11" t="s">
        <v>50</v>
      </c>
      <c r="D9" s="11" t="s">
        <v>110</v>
      </c>
      <c r="E9" s="11" t="s">
        <v>37</v>
      </c>
      <c r="F9" s="11" t="s">
        <v>38</v>
      </c>
      <c r="G9" s="11" t="s">
        <v>39</v>
      </c>
      <c r="H9" s="11" t="s">
        <v>111</v>
      </c>
      <c r="I9" s="11" t="s">
        <v>112</v>
      </c>
      <c r="J9" s="11">
        <v>6188</v>
      </c>
      <c r="K9" s="11">
        <v>0.009696186</v>
      </c>
      <c r="L9" s="11" t="s">
        <v>106</v>
      </c>
      <c r="M9" s="11" t="s">
        <v>107</v>
      </c>
      <c r="N9" s="11" t="s">
        <v>108</v>
      </c>
      <c r="O9" s="11" t="s">
        <v>45</v>
      </c>
      <c r="P9" s="11"/>
      <c r="Q9" s="11" t="s">
        <v>46</v>
      </c>
      <c r="R9" s="11"/>
      <c r="S9" s="11"/>
      <c r="T9" s="12">
        <v>45928.627337963</v>
      </c>
      <c r="U9" s="11" t="s">
        <v>41</v>
      </c>
      <c r="V9" s="12">
        <v>46080.6782407407</v>
      </c>
      <c r="W9" s="11" t="s">
        <v>47</v>
      </c>
      <c r="X9" s="11">
        <v>6188</v>
      </c>
      <c r="Y9" s="11">
        <v>6188</v>
      </c>
      <c r="Z9" s="11">
        <v>30</v>
      </c>
      <c r="AA9" s="11">
        <v>0</v>
      </c>
      <c r="AB9" s="11">
        <v>6158</v>
      </c>
      <c r="AC9" s="11">
        <v>6158</v>
      </c>
      <c r="AD9" s="11">
        <v>3686</v>
      </c>
      <c r="AE9" s="11">
        <v>2472</v>
      </c>
      <c r="AF9" s="11">
        <v>31.32</v>
      </c>
      <c r="AG9" s="11">
        <v>0.303684551</v>
      </c>
    </row>
    <row r="10" ht="14.25" spans="1:33">
      <c r="A10" s="11" t="s">
        <v>113</v>
      </c>
      <c r="B10" s="11" t="s">
        <v>114</v>
      </c>
      <c r="C10" s="11"/>
      <c r="D10" s="11" t="s">
        <v>115</v>
      </c>
      <c r="E10" s="11" t="s">
        <v>37</v>
      </c>
      <c r="F10" s="11" t="s">
        <v>38</v>
      </c>
      <c r="G10" s="11" t="s">
        <v>39</v>
      </c>
      <c r="H10" s="11" t="s">
        <v>40</v>
      </c>
      <c r="I10" s="11" t="s">
        <v>40</v>
      </c>
      <c r="J10" s="11">
        <v>1601</v>
      </c>
      <c r="K10" s="11">
        <v>0.037476577</v>
      </c>
      <c r="L10" s="11" t="s">
        <v>116</v>
      </c>
      <c r="M10" s="11" t="s">
        <v>107</v>
      </c>
      <c r="N10" s="11" t="s">
        <v>108</v>
      </c>
      <c r="O10" s="11" t="s">
        <v>45</v>
      </c>
      <c r="P10" s="11"/>
      <c r="Q10" s="11"/>
      <c r="R10" s="11"/>
      <c r="S10" s="11"/>
      <c r="T10" s="12">
        <v>45928.6100694444</v>
      </c>
      <c r="U10" s="11" t="s">
        <v>41</v>
      </c>
      <c r="V10" s="12">
        <v>45975.566412037</v>
      </c>
      <c r="W10" s="11" t="s">
        <v>47</v>
      </c>
      <c r="X10" s="11">
        <v>1601</v>
      </c>
      <c r="Y10" s="11">
        <v>1601</v>
      </c>
      <c r="Z10" s="11">
        <v>3</v>
      </c>
      <c r="AA10" s="11">
        <v>5</v>
      </c>
      <c r="AB10" s="11">
        <v>1598</v>
      </c>
      <c r="AC10" s="11">
        <v>1598</v>
      </c>
      <c r="AD10" s="11">
        <v>0</v>
      </c>
      <c r="AE10" s="11">
        <v>1598</v>
      </c>
      <c r="AF10" s="11">
        <v>9.02</v>
      </c>
      <c r="AG10" s="11">
        <v>0.338038726</v>
      </c>
    </row>
    <row r="11" ht="14.25" spans="1:33">
      <c r="A11" s="11" t="s">
        <v>117</v>
      </c>
      <c r="B11" s="11" t="s">
        <v>104</v>
      </c>
      <c r="C11" s="11" t="s">
        <v>50</v>
      </c>
      <c r="D11" s="11" t="s">
        <v>118</v>
      </c>
      <c r="E11" s="11" t="s">
        <v>37</v>
      </c>
      <c r="F11" s="11" t="s">
        <v>38</v>
      </c>
      <c r="G11" s="11" t="s">
        <v>39</v>
      </c>
      <c r="H11" s="11" t="s">
        <v>119</v>
      </c>
      <c r="I11" s="11" t="s">
        <v>120</v>
      </c>
      <c r="J11" s="11">
        <v>15000</v>
      </c>
      <c r="K11" s="11">
        <v>0.004</v>
      </c>
      <c r="L11" s="11" t="s">
        <v>106</v>
      </c>
      <c r="M11" s="11" t="s">
        <v>107</v>
      </c>
      <c r="N11" s="11" t="s">
        <v>108</v>
      </c>
      <c r="O11" s="11" t="s">
        <v>45</v>
      </c>
      <c r="P11" s="11"/>
      <c r="Q11" s="11" t="s">
        <v>46</v>
      </c>
      <c r="R11" s="11"/>
      <c r="S11" s="11"/>
      <c r="T11" s="12">
        <v>45928.6021527778</v>
      </c>
      <c r="U11" s="11" t="s">
        <v>41</v>
      </c>
      <c r="V11" s="12">
        <v>46007.6444212963</v>
      </c>
      <c r="W11" s="11" t="s">
        <v>47</v>
      </c>
      <c r="X11" s="11">
        <v>11931</v>
      </c>
      <c r="Y11" s="11">
        <v>11934</v>
      </c>
      <c r="Z11" s="11">
        <v>39</v>
      </c>
      <c r="AA11" s="11">
        <v>0</v>
      </c>
      <c r="AB11" s="11">
        <v>6443</v>
      </c>
      <c r="AC11" s="11">
        <v>11892</v>
      </c>
      <c r="AD11" s="11">
        <v>2447</v>
      </c>
      <c r="AE11" s="11">
        <v>3996</v>
      </c>
      <c r="AF11" s="11">
        <v>76.9</v>
      </c>
      <c r="AG11" s="11">
        <v>0.3076</v>
      </c>
    </row>
    <row r="12" ht="14.25" spans="1:33">
      <c r="A12" s="11" t="s">
        <v>121</v>
      </c>
      <c r="B12" s="11" t="s">
        <v>122</v>
      </c>
      <c r="C12" s="11" t="s">
        <v>50</v>
      </c>
      <c r="D12" s="11" t="s">
        <v>123</v>
      </c>
      <c r="E12" s="11" t="s">
        <v>124</v>
      </c>
      <c r="F12" s="11" t="s">
        <v>38</v>
      </c>
      <c r="G12" s="11" t="s">
        <v>39</v>
      </c>
      <c r="H12" s="11" t="s">
        <v>125</v>
      </c>
      <c r="I12" s="11" t="s">
        <v>126</v>
      </c>
      <c r="J12" s="11">
        <v>50</v>
      </c>
      <c r="K12" s="11">
        <v>1.2</v>
      </c>
      <c r="L12" s="11" t="s">
        <v>127</v>
      </c>
      <c r="M12" s="11" t="s">
        <v>128</v>
      </c>
      <c r="N12" s="11" t="s">
        <v>129</v>
      </c>
      <c r="O12" s="11" t="s">
        <v>45</v>
      </c>
      <c r="P12" s="11"/>
      <c r="Q12" s="11" t="s">
        <v>46</v>
      </c>
      <c r="R12" s="11" t="s">
        <v>130</v>
      </c>
      <c r="S12" s="11"/>
      <c r="T12" s="12">
        <v>46132.6875231481</v>
      </c>
      <c r="U12" s="11" t="s">
        <v>131</v>
      </c>
      <c r="V12" s="12">
        <v>46141.4519097222</v>
      </c>
      <c r="W12" s="11" t="s">
        <v>47</v>
      </c>
      <c r="X12" s="11">
        <v>50</v>
      </c>
      <c r="Y12" s="11">
        <v>50</v>
      </c>
      <c r="Z12" s="11">
        <v>0</v>
      </c>
      <c r="AA12" s="11">
        <v>50</v>
      </c>
      <c r="AB12" s="11">
        <v>50</v>
      </c>
      <c r="AC12" s="11">
        <v>50</v>
      </c>
      <c r="AD12" s="11">
        <v>50</v>
      </c>
      <c r="AE12" s="11">
        <v>0</v>
      </c>
      <c r="AF12" s="11">
        <v>1.09</v>
      </c>
      <c r="AG12" s="11">
        <v>1.09</v>
      </c>
    </row>
  </sheetData>
  <autoFilter ref="A1:AG12">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2"/>
  <sheetViews>
    <sheetView workbookViewId="0">
      <pane xSplit="1" ySplit="1" topLeftCell="B2" activePane="bottomRight" state="frozen"/>
      <selection/>
      <selection pane="topRight"/>
      <selection pane="bottomLeft"/>
      <selection pane="bottomRight" activeCell="E2" sqref="E2"/>
    </sheetView>
  </sheetViews>
  <sheetFormatPr defaultColWidth="14" defaultRowHeight="12.75" outlineLevelRow="1"/>
  <cols>
    <col min="19" max="19" width="17.2857142857143"/>
    <col min="21" max="21" width="17.2857142857143"/>
    <col min="24" max="24" width="14.5714285714286"/>
    <col min="33" max="33" width="14.5714285714286"/>
  </cols>
  <sheetData>
    <row r="1" ht="14.25" spans="1:33">
      <c r="A1" s="11" t="s">
        <v>0</v>
      </c>
      <c r="B1" s="11" t="s">
        <v>1</v>
      </c>
      <c r="C1" s="11" t="s">
        <v>2</v>
      </c>
      <c r="D1" s="11" t="s">
        <v>3</v>
      </c>
      <c r="E1" s="11" t="s">
        <v>4</v>
      </c>
      <c r="F1" s="11" t="s">
        <v>5</v>
      </c>
      <c r="G1" s="11" t="s">
        <v>6</v>
      </c>
      <c r="H1" s="11" t="s">
        <v>7</v>
      </c>
      <c r="I1" s="11" t="s">
        <v>8</v>
      </c>
      <c r="J1" s="11" t="s">
        <v>9</v>
      </c>
      <c r="K1" s="11" t="s">
        <v>11</v>
      </c>
      <c r="L1" s="11" t="s">
        <v>12</v>
      </c>
      <c r="M1" s="11" t="s">
        <v>13</v>
      </c>
      <c r="N1" s="11" t="s">
        <v>14</v>
      </c>
      <c r="O1" s="11" t="s">
        <v>15</v>
      </c>
      <c r="P1" s="11" t="s">
        <v>16</v>
      </c>
      <c r="Q1" s="11" t="s">
        <v>17</v>
      </c>
      <c r="R1" s="11" t="s">
        <v>18</v>
      </c>
      <c r="S1" s="11" t="s">
        <v>19</v>
      </c>
      <c r="T1" s="11" t="s">
        <v>20</v>
      </c>
      <c r="U1" s="11" t="s">
        <v>21</v>
      </c>
      <c r="V1" s="11" t="s">
        <v>22</v>
      </c>
      <c r="W1" s="11" t="s">
        <v>23</v>
      </c>
      <c r="X1" s="11"/>
      <c r="Y1" s="11" t="s">
        <v>24</v>
      </c>
      <c r="Z1" s="11" t="s">
        <v>25</v>
      </c>
      <c r="AA1" s="11" t="s">
        <v>26</v>
      </c>
      <c r="AB1" s="11" t="s">
        <v>27</v>
      </c>
      <c r="AC1" s="11" t="s">
        <v>28</v>
      </c>
      <c r="AD1" s="11" t="s">
        <v>29</v>
      </c>
      <c r="AE1" s="11" t="s">
        <v>30</v>
      </c>
      <c r="AF1" s="11" t="s">
        <v>31</v>
      </c>
      <c r="AG1" s="11" t="s">
        <v>32</v>
      </c>
    </row>
    <row r="2" ht="14.25" spans="1:33">
      <c r="A2" s="11" t="s">
        <v>132</v>
      </c>
      <c r="B2" s="11" t="s">
        <v>133</v>
      </c>
      <c r="C2" s="11" t="s">
        <v>134</v>
      </c>
      <c r="D2" s="11" t="s">
        <v>135</v>
      </c>
      <c r="E2" s="11" t="s">
        <v>52</v>
      </c>
      <c r="F2" s="11" t="s">
        <v>38</v>
      </c>
      <c r="G2" s="11" t="s">
        <v>136</v>
      </c>
      <c r="H2" s="11" t="s">
        <v>137</v>
      </c>
      <c r="I2" s="11" t="s">
        <v>138</v>
      </c>
      <c r="J2" s="11">
        <v>900</v>
      </c>
      <c r="K2" s="11" t="s">
        <v>139</v>
      </c>
      <c r="L2" s="11" t="s">
        <v>140</v>
      </c>
      <c r="M2" s="11" t="s">
        <v>141</v>
      </c>
      <c r="N2" s="11" t="s">
        <v>142</v>
      </c>
      <c r="O2" s="11"/>
      <c r="P2" s="11" t="s">
        <v>59</v>
      </c>
      <c r="Q2" s="11" t="s">
        <v>143</v>
      </c>
      <c r="R2" s="11"/>
      <c r="S2" s="12">
        <v>46155.3910069444</v>
      </c>
      <c r="T2" s="11" t="s">
        <v>144</v>
      </c>
      <c r="U2" s="12">
        <v>46155.4594675926</v>
      </c>
      <c r="V2" s="11" t="s">
        <v>145</v>
      </c>
      <c r="W2" s="11">
        <v>27</v>
      </c>
      <c r="X2" s="11">
        <v>0.72</v>
      </c>
      <c r="Y2" s="11">
        <v>27</v>
      </c>
      <c r="Z2" s="11">
        <v>0</v>
      </c>
      <c r="AA2" s="11">
        <v>23</v>
      </c>
      <c r="AB2" s="11">
        <v>0</v>
      </c>
      <c r="AC2" s="11">
        <v>23</v>
      </c>
      <c r="AD2" s="11">
        <v>0</v>
      </c>
      <c r="AE2" s="11">
        <v>0</v>
      </c>
      <c r="AF2" s="11">
        <v>0.72</v>
      </c>
      <c r="AG2" s="11">
        <v>0.72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H15"/>
  <sheetViews>
    <sheetView tabSelected="1" zoomScale="160" zoomScaleNormal="160" workbookViewId="0">
      <pane xSplit="2" ySplit="1" topLeftCell="C2" activePane="bottomRight" state="frozen"/>
      <selection/>
      <selection pane="topRight"/>
      <selection pane="bottomLeft"/>
      <selection pane="bottomRight" activeCell="I5" sqref="I5"/>
    </sheetView>
  </sheetViews>
  <sheetFormatPr defaultColWidth="14" defaultRowHeight="12.75"/>
  <sheetData>
    <row r="1" ht="14.25" spans="1:34">
      <c r="A1" s="4" t="s">
        <v>146</v>
      </c>
      <c r="B1" s="4" t="s">
        <v>0</v>
      </c>
      <c r="C1" s="4" t="s">
        <v>147</v>
      </c>
      <c r="D1" s="4" t="s">
        <v>148</v>
      </c>
      <c r="E1" s="4" t="s">
        <v>149</v>
      </c>
      <c r="F1" s="4" t="s">
        <v>150</v>
      </c>
      <c r="G1" s="4" t="s">
        <v>1</v>
      </c>
      <c r="H1" s="4" t="s">
        <v>151</v>
      </c>
      <c r="I1" s="9" t="s">
        <v>4</v>
      </c>
      <c r="J1" s="4" t="s">
        <v>6</v>
      </c>
      <c r="K1" s="4" t="s">
        <v>152</v>
      </c>
      <c r="L1" s="4" t="s">
        <v>153</v>
      </c>
      <c r="M1" s="9" t="s">
        <v>154</v>
      </c>
      <c r="N1" s="9" t="s">
        <v>155</v>
      </c>
      <c r="O1" s="4" t="s">
        <v>9</v>
      </c>
      <c r="P1" s="4" t="s">
        <v>156</v>
      </c>
      <c r="Q1" s="4" t="s">
        <v>157</v>
      </c>
      <c r="R1" s="4" t="s">
        <v>16</v>
      </c>
      <c r="S1" s="4" t="s">
        <v>158</v>
      </c>
      <c r="T1" s="4" t="s">
        <v>159</v>
      </c>
      <c r="U1" s="4" t="s">
        <v>160</v>
      </c>
      <c r="V1" s="4" t="s">
        <v>161</v>
      </c>
      <c r="W1" s="4" t="s">
        <v>162</v>
      </c>
      <c r="X1" s="4" t="s">
        <v>163</v>
      </c>
      <c r="Y1" s="4" t="s">
        <v>164</v>
      </c>
      <c r="Z1" s="4" t="s">
        <v>165</v>
      </c>
      <c r="AA1" s="4" t="s">
        <v>166</v>
      </c>
      <c r="AB1" s="4" t="s">
        <v>167</v>
      </c>
      <c r="AC1" s="4" t="s">
        <v>168</v>
      </c>
      <c r="AD1" s="4" t="s">
        <v>169</v>
      </c>
      <c r="AE1" s="4" t="s">
        <v>170</v>
      </c>
      <c r="AF1" s="4" t="s">
        <v>171</v>
      </c>
      <c r="AG1" s="4" t="s">
        <v>172</v>
      </c>
      <c r="AH1" s="4" t="s">
        <v>173</v>
      </c>
    </row>
    <row r="2" ht="13.5" spans="1:34">
      <c r="A2" s="5">
        <v>3441</v>
      </c>
      <c r="B2" s="5" t="s">
        <v>174</v>
      </c>
      <c r="C2" s="5">
        <v>1.61</v>
      </c>
      <c r="D2" s="6">
        <v>46111</v>
      </c>
      <c r="E2" s="5" t="s">
        <v>175</v>
      </c>
      <c r="F2" s="6">
        <v>46098</v>
      </c>
      <c r="G2" s="5" t="s">
        <v>176</v>
      </c>
      <c r="H2" s="5" t="s">
        <v>177</v>
      </c>
      <c r="I2" s="5" t="s">
        <v>76</v>
      </c>
      <c r="J2" s="5" t="s">
        <v>136</v>
      </c>
      <c r="K2" s="5" t="s">
        <v>71</v>
      </c>
      <c r="L2" s="5" t="s">
        <v>178</v>
      </c>
      <c r="M2" s="5" t="s">
        <v>179</v>
      </c>
      <c r="N2" s="5" t="s">
        <v>180</v>
      </c>
      <c r="O2" s="5">
        <v>100</v>
      </c>
      <c r="P2" s="5" t="s">
        <v>181</v>
      </c>
      <c r="Q2" s="5"/>
      <c r="R2" s="5" t="s">
        <v>46</v>
      </c>
      <c r="S2" s="5"/>
      <c r="T2" s="5" t="s">
        <v>182</v>
      </c>
      <c r="U2" s="5"/>
      <c r="V2" s="5"/>
      <c r="W2" s="5"/>
      <c r="X2" s="5"/>
      <c r="Y2" s="5"/>
      <c r="Z2" s="5"/>
      <c r="AA2" s="5"/>
      <c r="AB2" s="5"/>
      <c r="AC2" s="5" t="s">
        <v>183</v>
      </c>
      <c r="AD2" s="5"/>
      <c r="AE2" s="5"/>
      <c r="AF2" s="5"/>
      <c r="AG2" s="5"/>
      <c r="AH2" s="5"/>
    </row>
    <row r="3" ht="13.5" spans="1:34">
      <c r="A3" s="5">
        <v>3867</v>
      </c>
      <c r="B3" s="5" t="s">
        <v>184</v>
      </c>
      <c r="C3" s="5">
        <v>6.53</v>
      </c>
      <c r="D3" s="6">
        <v>46114</v>
      </c>
      <c r="E3" s="5" t="s">
        <v>185</v>
      </c>
      <c r="F3" s="6">
        <v>46114</v>
      </c>
      <c r="G3" s="5" t="s">
        <v>186</v>
      </c>
      <c r="H3" s="5" t="s">
        <v>187</v>
      </c>
      <c r="I3" s="5" t="s">
        <v>188</v>
      </c>
      <c r="J3" s="5" t="s">
        <v>136</v>
      </c>
      <c r="K3" s="5" t="s">
        <v>71</v>
      </c>
      <c r="L3" s="5" t="s">
        <v>189</v>
      </c>
      <c r="M3" s="5" t="s">
        <v>190</v>
      </c>
      <c r="N3" s="5" t="s">
        <v>191</v>
      </c>
      <c r="O3" s="5">
        <v>200</v>
      </c>
      <c r="P3" s="5" t="s">
        <v>192</v>
      </c>
      <c r="Q3" s="5"/>
      <c r="R3" s="5" t="s">
        <v>193</v>
      </c>
      <c r="S3" s="5">
        <v>11</v>
      </c>
      <c r="T3" s="5" t="s">
        <v>194</v>
      </c>
      <c r="U3" s="5"/>
      <c r="V3" s="5"/>
      <c r="W3" s="5"/>
      <c r="X3" s="5"/>
      <c r="Y3" s="5"/>
      <c r="Z3" s="5"/>
      <c r="AA3" s="5"/>
      <c r="AB3" s="5"/>
      <c r="AC3" s="5"/>
      <c r="AD3" s="5"/>
      <c r="AE3" s="5"/>
      <c r="AF3" s="5"/>
      <c r="AG3" s="5"/>
      <c r="AH3" s="5"/>
    </row>
    <row r="4" ht="13.5" spans="1:34">
      <c r="A4" s="5">
        <v>3999</v>
      </c>
      <c r="B4" s="5" t="s">
        <v>195</v>
      </c>
      <c r="C4" s="5">
        <v>1.14</v>
      </c>
      <c r="D4" s="6">
        <v>46122</v>
      </c>
      <c r="E4" s="5" t="s">
        <v>196</v>
      </c>
      <c r="F4" s="6">
        <v>46122</v>
      </c>
      <c r="G4" s="5" t="s">
        <v>197</v>
      </c>
      <c r="H4" s="5" t="s">
        <v>198</v>
      </c>
      <c r="I4" s="5" t="s">
        <v>199</v>
      </c>
      <c r="J4" s="5" t="s">
        <v>136</v>
      </c>
      <c r="K4" s="5" t="s">
        <v>200</v>
      </c>
      <c r="L4" s="5" t="s">
        <v>201</v>
      </c>
      <c r="M4" s="5" t="s">
        <v>202</v>
      </c>
      <c r="N4" s="5" t="s">
        <v>203</v>
      </c>
      <c r="O4" s="5">
        <v>60</v>
      </c>
      <c r="P4" s="5" t="s">
        <v>204</v>
      </c>
      <c r="Q4" s="5"/>
      <c r="R4" s="5" t="s">
        <v>59</v>
      </c>
      <c r="S4" s="5"/>
      <c r="T4" s="5" t="s">
        <v>205</v>
      </c>
      <c r="U4" s="5"/>
      <c r="V4" s="5" t="s">
        <v>206</v>
      </c>
      <c r="W4" s="5"/>
      <c r="X4" s="5"/>
      <c r="Y4" s="5"/>
      <c r="Z4" s="5"/>
      <c r="AA4" s="5"/>
      <c r="AB4" s="5"/>
      <c r="AC4" s="5"/>
      <c r="AD4" s="5"/>
      <c r="AE4" s="5"/>
      <c r="AF4" s="5"/>
      <c r="AG4" s="5"/>
      <c r="AH4" s="5"/>
    </row>
    <row r="5" ht="13.5" spans="1:34">
      <c r="A5" s="5">
        <v>4030</v>
      </c>
      <c r="B5" s="5" t="s">
        <v>207</v>
      </c>
      <c r="C5" s="5">
        <v>0.2</v>
      </c>
      <c r="D5" s="6">
        <v>46125</v>
      </c>
      <c r="E5" s="5" t="s">
        <v>208</v>
      </c>
      <c r="F5" s="6">
        <v>46125</v>
      </c>
      <c r="G5" s="5" t="s">
        <v>209</v>
      </c>
      <c r="H5" s="5" t="s">
        <v>210</v>
      </c>
      <c r="I5" s="5" t="s">
        <v>97</v>
      </c>
      <c r="J5" s="5" t="s">
        <v>211</v>
      </c>
      <c r="K5" s="5" t="s">
        <v>71</v>
      </c>
      <c r="L5" s="5" t="s">
        <v>212</v>
      </c>
      <c r="M5" s="5" t="s">
        <v>213</v>
      </c>
      <c r="N5" s="5" t="s">
        <v>214</v>
      </c>
      <c r="O5" s="5">
        <v>60</v>
      </c>
      <c r="P5" s="5" t="s">
        <v>215</v>
      </c>
      <c r="Q5" s="5"/>
      <c r="R5" s="5" t="s">
        <v>46</v>
      </c>
      <c r="S5" s="5"/>
      <c r="T5" s="5" t="s">
        <v>216</v>
      </c>
      <c r="U5" s="5"/>
      <c r="V5" s="5" t="s">
        <v>217</v>
      </c>
      <c r="W5" s="5"/>
      <c r="X5" s="5"/>
      <c r="Y5" s="5"/>
      <c r="Z5" s="5"/>
      <c r="AA5" s="5"/>
      <c r="AB5" s="5"/>
      <c r="AC5" s="5"/>
      <c r="AD5" s="5"/>
      <c r="AE5" s="5"/>
      <c r="AF5" s="5"/>
      <c r="AG5" s="5"/>
      <c r="AH5" s="5"/>
    </row>
    <row r="6" ht="13.5" spans="1:34">
      <c r="A6" s="5">
        <v>4312</v>
      </c>
      <c r="B6" s="5" t="s">
        <v>218</v>
      </c>
      <c r="C6" s="5">
        <v>1.16</v>
      </c>
      <c r="D6" s="6">
        <v>46133</v>
      </c>
      <c r="E6" s="5" t="s">
        <v>219</v>
      </c>
      <c r="F6" s="6">
        <v>46133</v>
      </c>
      <c r="G6" s="5" t="s">
        <v>220</v>
      </c>
      <c r="H6" s="5" t="s">
        <v>221</v>
      </c>
      <c r="I6" s="5" t="s">
        <v>52</v>
      </c>
      <c r="J6" s="5" t="s">
        <v>136</v>
      </c>
      <c r="K6" s="5" t="s">
        <v>71</v>
      </c>
      <c r="L6" s="5" t="s">
        <v>222</v>
      </c>
      <c r="M6" s="5" t="s">
        <v>223</v>
      </c>
      <c r="N6" s="5" t="s">
        <v>224</v>
      </c>
      <c r="O6" s="5">
        <v>100</v>
      </c>
      <c r="P6" s="5" t="s">
        <v>192</v>
      </c>
      <c r="Q6" s="5" t="s">
        <v>225</v>
      </c>
      <c r="R6" s="5" t="s">
        <v>46</v>
      </c>
      <c r="S6" s="5"/>
      <c r="T6" s="5" t="s">
        <v>226</v>
      </c>
      <c r="U6" s="5"/>
      <c r="V6" s="5"/>
      <c r="W6" s="5"/>
      <c r="X6" s="5"/>
      <c r="Y6" s="5"/>
      <c r="Z6" s="5"/>
      <c r="AA6" s="5"/>
      <c r="AB6" s="5"/>
      <c r="AC6" s="5"/>
      <c r="AD6" s="5"/>
      <c r="AE6" s="5"/>
      <c r="AF6" s="5"/>
      <c r="AG6" s="5"/>
      <c r="AH6" s="5"/>
    </row>
    <row r="7" ht="13.5" spans="1:34">
      <c r="A7" s="5">
        <v>4489</v>
      </c>
      <c r="B7" s="5" t="s">
        <v>227</v>
      </c>
      <c r="C7" s="5">
        <v>1.05</v>
      </c>
      <c r="D7" s="6">
        <v>46133</v>
      </c>
      <c r="E7" s="5" t="s">
        <v>175</v>
      </c>
      <c r="F7" s="6">
        <v>46133</v>
      </c>
      <c r="G7" s="5" t="s">
        <v>228</v>
      </c>
      <c r="H7" s="5" t="s">
        <v>229</v>
      </c>
      <c r="I7" s="5" t="s">
        <v>230</v>
      </c>
      <c r="J7" s="5" t="s">
        <v>136</v>
      </c>
      <c r="K7" s="5" t="s">
        <v>71</v>
      </c>
      <c r="L7" s="5" t="s">
        <v>231</v>
      </c>
      <c r="M7" s="5" t="s">
        <v>232</v>
      </c>
      <c r="N7" s="5" t="s">
        <v>233</v>
      </c>
      <c r="O7" s="5">
        <v>60</v>
      </c>
      <c r="P7" s="5" t="s">
        <v>138</v>
      </c>
      <c r="Q7" s="5"/>
      <c r="R7" s="5" t="s">
        <v>46</v>
      </c>
      <c r="S7" s="5"/>
      <c r="T7" s="5" t="s">
        <v>234</v>
      </c>
      <c r="U7" s="5"/>
      <c r="V7" s="5"/>
      <c r="W7" s="5"/>
      <c r="X7" s="5"/>
      <c r="Y7" s="5"/>
      <c r="Z7" s="5"/>
      <c r="AA7" s="5"/>
      <c r="AB7" s="5"/>
      <c r="AC7" s="5" t="s">
        <v>235</v>
      </c>
      <c r="AD7" s="5"/>
      <c r="AE7" s="5"/>
      <c r="AF7" s="5"/>
      <c r="AG7" s="5"/>
      <c r="AH7" s="5"/>
    </row>
    <row r="8" ht="13.5" spans="1:34">
      <c r="A8" s="5">
        <v>5277</v>
      </c>
      <c r="B8" s="5" t="s">
        <v>236</v>
      </c>
      <c r="C8" s="5">
        <v>0.4</v>
      </c>
      <c r="D8" s="6">
        <v>46133</v>
      </c>
      <c r="E8" s="5" t="s">
        <v>208</v>
      </c>
      <c r="F8" s="6">
        <v>46133</v>
      </c>
      <c r="G8" s="5" t="s">
        <v>237</v>
      </c>
      <c r="H8" s="5" t="s">
        <v>238</v>
      </c>
      <c r="I8" s="5" t="s">
        <v>239</v>
      </c>
      <c r="J8" s="5" t="s">
        <v>136</v>
      </c>
      <c r="K8" s="5" t="s">
        <v>71</v>
      </c>
      <c r="L8" s="5" t="s">
        <v>240</v>
      </c>
      <c r="M8" s="5" t="s">
        <v>241</v>
      </c>
      <c r="N8" s="5" t="s">
        <v>242</v>
      </c>
      <c r="O8" s="5">
        <v>60</v>
      </c>
      <c r="P8" s="5" t="s">
        <v>204</v>
      </c>
      <c r="Q8" s="5"/>
      <c r="R8" s="5" t="s">
        <v>46</v>
      </c>
      <c r="S8" s="5"/>
      <c r="T8" s="5" t="s">
        <v>243</v>
      </c>
      <c r="U8" s="5"/>
      <c r="V8" s="5" t="s">
        <v>244</v>
      </c>
      <c r="W8" s="5"/>
      <c r="X8" s="5"/>
      <c r="Y8" s="5"/>
      <c r="Z8" s="5"/>
      <c r="AA8" s="5"/>
      <c r="AB8" s="5"/>
      <c r="AC8" s="5"/>
      <c r="AD8" s="5"/>
      <c r="AE8" s="5"/>
      <c r="AF8" s="5"/>
      <c r="AG8" s="5"/>
      <c r="AH8" s="5"/>
    </row>
    <row r="9" ht="13.5" spans="1:34">
      <c r="A9" s="5">
        <v>5294</v>
      </c>
      <c r="B9" s="5" t="s">
        <v>245</v>
      </c>
      <c r="C9" s="5">
        <v>0.79</v>
      </c>
      <c r="D9" s="6">
        <v>46133</v>
      </c>
      <c r="E9" s="5" t="s">
        <v>219</v>
      </c>
      <c r="F9" s="6">
        <v>46133</v>
      </c>
      <c r="G9" s="5" t="s">
        <v>246</v>
      </c>
      <c r="H9" s="5" t="s">
        <v>247</v>
      </c>
      <c r="I9" s="5" t="s">
        <v>248</v>
      </c>
      <c r="J9" s="5" t="s">
        <v>136</v>
      </c>
      <c r="K9" s="5" t="s">
        <v>71</v>
      </c>
      <c r="L9" s="5" t="s">
        <v>249</v>
      </c>
      <c r="M9" s="5" t="s">
        <v>250</v>
      </c>
      <c r="N9" s="5" t="s">
        <v>251</v>
      </c>
      <c r="O9" s="5">
        <v>100</v>
      </c>
      <c r="P9" s="5" t="s">
        <v>192</v>
      </c>
      <c r="Q9" s="5"/>
      <c r="R9" s="5" t="s">
        <v>46</v>
      </c>
      <c r="S9" s="5"/>
      <c r="T9" s="5" t="s">
        <v>252</v>
      </c>
      <c r="U9" s="5"/>
      <c r="V9" s="5"/>
      <c r="W9" s="5"/>
      <c r="X9" s="5"/>
      <c r="Y9" s="5"/>
      <c r="Z9" s="5"/>
      <c r="AA9" s="5"/>
      <c r="AB9" s="5"/>
      <c r="AC9" s="5"/>
      <c r="AD9" s="5"/>
      <c r="AE9" s="5"/>
      <c r="AF9" s="5"/>
      <c r="AG9" s="5"/>
      <c r="AH9" s="5"/>
    </row>
    <row r="10" ht="13.5" spans="1:34">
      <c r="A10" s="5">
        <v>6355</v>
      </c>
      <c r="B10" s="5" t="s">
        <v>253</v>
      </c>
      <c r="C10" s="5">
        <v>0.71</v>
      </c>
      <c r="D10" s="6">
        <v>46134</v>
      </c>
      <c r="E10" s="5" t="s">
        <v>254</v>
      </c>
      <c r="F10" s="6">
        <v>46133</v>
      </c>
      <c r="G10" s="5" t="s">
        <v>255</v>
      </c>
      <c r="H10" s="5" t="s">
        <v>256</v>
      </c>
      <c r="I10" s="5" t="s">
        <v>257</v>
      </c>
      <c r="J10" s="5" t="s">
        <v>136</v>
      </c>
      <c r="K10" s="5" t="s">
        <v>71</v>
      </c>
      <c r="L10" s="5" t="s">
        <v>258</v>
      </c>
      <c r="M10" s="5" t="s">
        <v>259</v>
      </c>
      <c r="N10" s="5" t="s">
        <v>260</v>
      </c>
      <c r="O10" s="5">
        <v>60</v>
      </c>
      <c r="P10" s="5" t="s">
        <v>261</v>
      </c>
      <c r="Q10" s="5"/>
      <c r="R10" s="5" t="s">
        <v>46</v>
      </c>
      <c r="S10" s="5"/>
      <c r="T10" s="5" t="s">
        <v>262</v>
      </c>
      <c r="U10" s="5"/>
      <c r="V10" s="5" t="s">
        <v>244</v>
      </c>
      <c r="W10" s="5"/>
      <c r="X10" s="5"/>
      <c r="Y10" s="5"/>
      <c r="Z10" s="5"/>
      <c r="AA10" s="5"/>
      <c r="AB10" s="5"/>
      <c r="AC10" s="5"/>
      <c r="AD10" s="5"/>
      <c r="AE10" s="5"/>
      <c r="AF10" s="5"/>
      <c r="AG10" s="5"/>
      <c r="AH10" s="5"/>
    </row>
    <row r="11" ht="13.5" spans="1:34">
      <c r="A11" s="5">
        <v>6702</v>
      </c>
      <c r="B11" s="5" t="s">
        <v>263</v>
      </c>
      <c r="C11" s="5">
        <v>0.93</v>
      </c>
      <c r="D11" s="6">
        <v>46134</v>
      </c>
      <c r="E11" s="5" t="s">
        <v>254</v>
      </c>
      <c r="F11" s="6">
        <v>46133</v>
      </c>
      <c r="G11" s="5" t="s">
        <v>264</v>
      </c>
      <c r="H11" s="5" t="s">
        <v>265</v>
      </c>
      <c r="I11" s="5" t="s">
        <v>124</v>
      </c>
      <c r="J11" s="5" t="s">
        <v>136</v>
      </c>
      <c r="K11" s="5" t="s">
        <v>71</v>
      </c>
      <c r="L11" s="5" t="s">
        <v>266</v>
      </c>
      <c r="M11" s="5" t="s">
        <v>267</v>
      </c>
      <c r="N11" s="5" t="s">
        <v>268</v>
      </c>
      <c r="O11" s="5">
        <v>60</v>
      </c>
      <c r="P11" s="5" t="s">
        <v>181</v>
      </c>
      <c r="Q11" s="5"/>
      <c r="R11" s="5" t="s">
        <v>46</v>
      </c>
      <c r="S11" s="5">
        <v>8</v>
      </c>
      <c r="T11" s="5" t="s">
        <v>269</v>
      </c>
      <c r="U11" s="5"/>
      <c r="V11" s="5" t="s">
        <v>244</v>
      </c>
      <c r="W11" s="5"/>
      <c r="X11" s="5"/>
      <c r="Y11" s="5"/>
      <c r="Z11" s="5"/>
      <c r="AA11" s="5"/>
      <c r="AB11" s="5"/>
      <c r="AC11" s="5"/>
      <c r="AD11" s="5"/>
      <c r="AE11" s="5"/>
      <c r="AF11" s="5"/>
      <c r="AG11" s="5"/>
      <c r="AH11" s="5"/>
    </row>
    <row r="12" ht="13.5" spans="1:34">
      <c r="A12" s="5">
        <v>6808</v>
      </c>
      <c r="B12" s="5" t="s">
        <v>270</v>
      </c>
      <c r="C12" s="5">
        <v>0.88</v>
      </c>
      <c r="D12" s="6">
        <v>46134</v>
      </c>
      <c r="E12" s="5" t="s">
        <v>185</v>
      </c>
      <c r="F12" s="6">
        <v>46134</v>
      </c>
      <c r="G12" s="5" t="s">
        <v>271</v>
      </c>
      <c r="H12" s="5" t="s">
        <v>272</v>
      </c>
      <c r="I12" s="5" t="s">
        <v>273</v>
      </c>
      <c r="J12" s="5" t="s">
        <v>211</v>
      </c>
      <c r="K12" s="5" t="s">
        <v>71</v>
      </c>
      <c r="L12" s="5" t="s">
        <v>274</v>
      </c>
      <c r="M12" s="5" t="s">
        <v>275</v>
      </c>
      <c r="N12" s="5" t="s">
        <v>276</v>
      </c>
      <c r="O12" s="5">
        <v>100</v>
      </c>
      <c r="P12" s="5" t="s">
        <v>277</v>
      </c>
      <c r="Q12" s="5"/>
      <c r="R12" s="5" t="s">
        <v>46</v>
      </c>
      <c r="S12" s="5">
        <v>3</v>
      </c>
      <c r="T12" s="5" t="s">
        <v>278</v>
      </c>
      <c r="U12" s="5"/>
      <c r="V12" s="5"/>
      <c r="W12" s="5"/>
      <c r="X12" s="5"/>
      <c r="Y12" s="5"/>
      <c r="Z12" s="5"/>
      <c r="AA12" s="5"/>
      <c r="AB12" s="5"/>
      <c r="AC12" s="5"/>
      <c r="AD12" s="5"/>
      <c r="AE12" s="5"/>
      <c r="AF12" s="5"/>
      <c r="AG12" s="5"/>
      <c r="AH12" s="5"/>
    </row>
    <row r="13" ht="13.5" spans="1:34">
      <c r="A13" s="5">
        <v>6836</v>
      </c>
      <c r="B13" s="5" t="s">
        <v>279</v>
      </c>
      <c r="C13" s="5">
        <v>0.79</v>
      </c>
      <c r="D13" s="6">
        <v>46134</v>
      </c>
      <c r="E13" s="5" t="s">
        <v>280</v>
      </c>
      <c r="F13" s="6">
        <v>46134</v>
      </c>
      <c r="G13" s="5" t="s">
        <v>281</v>
      </c>
      <c r="H13" s="5" t="s">
        <v>282</v>
      </c>
      <c r="I13" s="5" t="s">
        <v>85</v>
      </c>
      <c r="J13" s="5" t="s">
        <v>136</v>
      </c>
      <c r="K13" s="5" t="s">
        <v>200</v>
      </c>
      <c r="L13" s="5" t="s">
        <v>283</v>
      </c>
      <c r="M13" s="5" t="s">
        <v>284</v>
      </c>
      <c r="N13" s="5" t="s">
        <v>285</v>
      </c>
      <c r="O13" s="5">
        <v>60</v>
      </c>
      <c r="P13" s="5" t="s">
        <v>138</v>
      </c>
      <c r="Q13" s="5" t="s">
        <v>286</v>
      </c>
      <c r="R13" s="5" t="s">
        <v>59</v>
      </c>
      <c r="S13" s="5">
        <v>6</v>
      </c>
      <c r="T13" s="5" t="s">
        <v>287</v>
      </c>
      <c r="U13" s="5"/>
      <c r="V13" s="5"/>
      <c r="W13" s="5"/>
      <c r="X13" s="5"/>
      <c r="Y13" s="5"/>
      <c r="Z13" s="5"/>
      <c r="AA13" s="5"/>
      <c r="AB13" s="5"/>
      <c r="AC13" s="5"/>
      <c r="AD13" s="5"/>
      <c r="AE13" s="5"/>
      <c r="AF13" s="5"/>
      <c r="AG13" s="5"/>
      <c r="AH13" s="5"/>
    </row>
    <row r="14" ht="13.5" spans="1:34">
      <c r="A14" s="5">
        <v>6998</v>
      </c>
      <c r="B14" s="5" t="s">
        <v>288</v>
      </c>
      <c r="C14" s="5">
        <v>0.55</v>
      </c>
      <c r="D14" s="6">
        <v>46148</v>
      </c>
      <c r="E14" s="5" t="s">
        <v>280</v>
      </c>
      <c r="F14" s="6">
        <v>46148</v>
      </c>
      <c r="G14" s="5" t="s">
        <v>289</v>
      </c>
      <c r="H14" s="5" t="s">
        <v>290</v>
      </c>
      <c r="I14" s="5" t="s">
        <v>291</v>
      </c>
      <c r="J14" s="5" t="s">
        <v>136</v>
      </c>
      <c r="K14" s="5" t="s">
        <v>292</v>
      </c>
      <c r="L14" s="5" t="s">
        <v>293</v>
      </c>
      <c r="M14" s="5" t="s">
        <v>294</v>
      </c>
      <c r="N14" s="5" t="s">
        <v>295</v>
      </c>
      <c r="O14" s="5">
        <v>60</v>
      </c>
      <c r="P14" s="5" t="s">
        <v>296</v>
      </c>
      <c r="Q14" s="5" t="s">
        <v>297</v>
      </c>
      <c r="R14" s="5" t="s">
        <v>298</v>
      </c>
      <c r="S14" s="5">
        <v>5</v>
      </c>
      <c r="T14" s="5" t="s">
        <v>299</v>
      </c>
      <c r="U14" s="5"/>
      <c r="V14" s="5"/>
      <c r="W14" s="5"/>
      <c r="X14" s="5"/>
      <c r="Y14" s="5"/>
      <c r="Z14" s="5"/>
      <c r="AA14" s="5"/>
      <c r="AB14" s="5"/>
      <c r="AC14" s="5"/>
      <c r="AD14" s="5"/>
      <c r="AE14" s="5"/>
      <c r="AF14" s="5"/>
      <c r="AG14" s="5"/>
      <c r="AH14" s="5"/>
    </row>
    <row r="15" ht="16.5" spans="1:29">
      <c r="A15" s="7">
        <v>427</v>
      </c>
      <c r="B15" s="7" t="s">
        <v>300</v>
      </c>
      <c r="C15" s="7">
        <v>4.54</v>
      </c>
      <c r="D15" s="8">
        <v>46013</v>
      </c>
      <c r="E15" s="7" t="s">
        <v>301</v>
      </c>
      <c r="F15" s="8">
        <v>46013</v>
      </c>
      <c r="G15" s="7" t="s">
        <v>302</v>
      </c>
      <c r="H15" s="7" t="s">
        <v>303</v>
      </c>
      <c r="I15" s="7" t="s">
        <v>304</v>
      </c>
      <c r="J15" s="7" t="s">
        <v>136</v>
      </c>
      <c r="K15" s="7" t="s">
        <v>71</v>
      </c>
      <c r="L15" s="7" t="s">
        <v>305</v>
      </c>
      <c r="M15" s="7" t="s">
        <v>306</v>
      </c>
      <c r="N15" s="7" t="s">
        <v>307</v>
      </c>
      <c r="O15" s="7">
        <v>300</v>
      </c>
      <c r="P15" s="7" t="s">
        <v>192</v>
      </c>
      <c r="Q15" s="10"/>
      <c r="R15" s="7" t="s">
        <v>46</v>
      </c>
      <c r="S15" s="7">
        <v>6</v>
      </c>
      <c r="T15" s="7" t="s">
        <v>308</v>
      </c>
      <c r="U15" s="10"/>
      <c r="V15" s="10"/>
      <c r="W15" s="10"/>
      <c r="X15" s="10"/>
      <c r="Y15" s="10"/>
      <c r="Z15" s="10"/>
      <c r="AA15" s="10"/>
      <c r="AB15" s="10"/>
      <c r="AC15" s="10"/>
    </row>
  </sheetData>
  <autoFilter ref="A1:AH14">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9:K25"/>
  <sheetViews>
    <sheetView workbookViewId="0">
      <selection activeCell="A1" sqref="A1"/>
    </sheetView>
  </sheetViews>
  <sheetFormatPr defaultColWidth="14" defaultRowHeight="12.75"/>
  <cols>
    <col min="1" max="1" width="14" customWidth="1"/>
    <col min="7" max="8" width="14" customWidth="1"/>
    <col min="10" max="10" width="14" customWidth="1"/>
    <col min="13" max="13" width="45" customWidth="1"/>
    <col min="15" max="15" width="14" hidden="1" customWidth="1"/>
    <col min="16" max="16" width="45" customWidth="1"/>
  </cols>
  <sheetData>
    <row r="9" ht="79.45" customHeight="1"/>
    <row r="10" ht="19" customHeight="1" spans="1:11">
      <c r="A10" s="1"/>
      <c r="B10" s="1"/>
      <c r="C10" s="1" t="s">
        <v>309</v>
      </c>
      <c r="D10" s="1" t="s">
        <v>310</v>
      </c>
      <c r="E10" s="1" t="s">
        <v>311</v>
      </c>
      <c r="F10" s="1" t="s">
        <v>312</v>
      </c>
      <c r="G10" s="1" t="s">
        <v>313</v>
      </c>
      <c r="H10" s="1" t="s">
        <v>314</v>
      </c>
      <c r="I10" s="1" t="s">
        <v>315</v>
      </c>
      <c r="J10" s="1" t="s">
        <v>316</v>
      </c>
      <c r="K10" s="1"/>
    </row>
    <row r="11" spans="1:10">
      <c r="A11" s="1"/>
      <c r="B11" s="1" t="s">
        <v>317</v>
      </c>
      <c r="C11" s="1">
        <v>204</v>
      </c>
      <c r="E11" s="1">
        <v>12.2</v>
      </c>
      <c r="F11">
        <f t="shared" ref="F11:F23" si="0">SUM(C11:E11)</f>
        <v>216.2</v>
      </c>
      <c r="G11" s="1">
        <v>1</v>
      </c>
      <c r="H11" s="1">
        <f t="shared" ref="H11:H23" si="1">G11*F11</f>
        <v>216.2</v>
      </c>
      <c r="I11" s="1">
        <v>0</v>
      </c>
      <c r="J11" s="1">
        <f t="shared" ref="J11:J23" si="2">I11*F11</f>
        <v>0</v>
      </c>
    </row>
    <row r="12" spans="2:10">
      <c r="B12" s="2" t="s">
        <v>124</v>
      </c>
      <c r="C12" s="1">
        <v>219</v>
      </c>
      <c r="E12" s="1">
        <v>176.7</v>
      </c>
      <c r="F12">
        <f t="shared" si="0"/>
        <v>395.7</v>
      </c>
      <c r="G12" s="1">
        <v>0</v>
      </c>
      <c r="H12" s="1">
        <f t="shared" si="1"/>
        <v>0</v>
      </c>
      <c r="I12" s="1">
        <v>1</v>
      </c>
      <c r="J12" s="1">
        <f t="shared" si="2"/>
        <v>395.7</v>
      </c>
    </row>
    <row r="13" spans="2:10">
      <c r="B13" s="1" t="s">
        <v>318</v>
      </c>
      <c r="C13" s="1">
        <v>153</v>
      </c>
      <c r="E13" s="1">
        <v>118.8</v>
      </c>
      <c r="F13">
        <f t="shared" si="0"/>
        <v>271.8</v>
      </c>
      <c r="G13" s="1">
        <v>1</v>
      </c>
      <c r="H13" s="1">
        <f t="shared" si="1"/>
        <v>271.8</v>
      </c>
      <c r="I13" s="1">
        <v>0</v>
      </c>
      <c r="J13" s="1">
        <f t="shared" si="2"/>
        <v>0</v>
      </c>
    </row>
    <row r="14" spans="2:10">
      <c r="B14" s="2" t="s">
        <v>52</v>
      </c>
      <c r="C14" s="1">
        <v>103</v>
      </c>
      <c r="D14" s="1">
        <v>41</v>
      </c>
      <c r="E14" s="1">
        <v>18.76</v>
      </c>
      <c r="F14">
        <f t="shared" si="0"/>
        <v>162.76</v>
      </c>
      <c r="G14" s="1">
        <v>0</v>
      </c>
      <c r="H14" s="1">
        <f t="shared" si="1"/>
        <v>0</v>
      </c>
      <c r="I14" s="1">
        <v>1</v>
      </c>
      <c r="J14" s="1">
        <f t="shared" si="2"/>
        <v>162.76</v>
      </c>
    </row>
    <row r="15" spans="2:10">
      <c r="B15" s="1" t="s">
        <v>199</v>
      </c>
      <c r="C15" s="1">
        <v>25</v>
      </c>
      <c r="E15" s="1">
        <v>170.4</v>
      </c>
      <c r="F15">
        <f t="shared" si="0"/>
        <v>195.4</v>
      </c>
      <c r="G15" s="1">
        <v>1</v>
      </c>
      <c r="H15" s="1">
        <f t="shared" si="1"/>
        <v>195.4</v>
      </c>
      <c r="I15" s="1">
        <v>0</v>
      </c>
      <c r="J15" s="1">
        <f t="shared" si="2"/>
        <v>0</v>
      </c>
    </row>
    <row r="16" spans="2:10">
      <c r="B16" s="2" t="s">
        <v>76</v>
      </c>
      <c r="C16" s="1">
        <v>32.6</v>
      </c>
      <c r="E16" s="1">
        <v>173.6</v>
      </c>
      <c r="F16">
        <f t="shared" si="0"/>
        <v>206.2</v>
      </c>
      <c r="G16" s="1">
        <v>0</v>
      </c>
      <c r="H16" s="1">
        <f t="shared" si="1"/>
        <v>0</v>
      </c>
      <c r="I16" s="1">
        <v>1</v>
      </c>
      <c r="J16" s="1">
        <f t="shared" si="2"/>
        <v>206.2</v>
      </c>
    </row>
    <row r="17" ht="25" customHeight="1" spans="1:10">
      <c r="A17" s="1"/>
      <c r="B17" s="2" t="s">
        <v>257</v>
      </c>
      <c r="E17" s="1">
        <v>253.5</v>
      </c>
      <c r="F17">
        <f t="shared" si="0"/>
        <v>253.5</v>
      </c>
      <c r="G17" s="1">
        <v>0</v>
      </c>
      <c r="H17" s="1">
        <f t="shared" si="1"/>
        <v>0</v>
      </c>
      <c r="I17" s="1">
        <v>1</v>
      </c>
      <c r="J17" s="1">
        <f t="shared" si="2"/>
        <v>253.5</v>
      </c>
    </row>
    <row r="18" spans="2:10">
      <c r="B18" s="1" t="s">
        <v>319</v>
      </c>
      <c r="E18" s="1">
        <v>40.5</v>
      </c>
      <c r="F18">
        <f t="shared" si="0"/>
        <v>40.5</v>
      </c>
      <c r="G18" s="1">
        <v>1</v>
      </c>
      <c r="H18" s="1">
        <f t="shared" si="1"/>
        <v>40.5</v>
      </c>
      <c r="I18" s="1">
        <v>0</v>
      </c>
      <c r="J18" s="1">
        <f t="shared" si="2"/>
        <v>0</v>
      </c>
    </row>
    <row r="19" spans="2:10">
      <c r="B19" s="2" t="s">
        <v>320</v>
      </c>
      <c r="E19" s="1">
        <v>26.1</v>
      </c>
      <c r="F19">
        <f t="shared" si="0"/>
        <v>26.1</v>
      </c>
      <c r="G19" s="1">
        <v>0</v>
      </c>
      <c r="H19" s="1">
        <f t="shared" si="1"/>
        <v>0</v>
      </c>
      <c r="I19" s="1">
        <v>1</v>
      </c>
      <c r="J19" s="1">
        <f t="shared" si="2"/>
        <v>26.1</v>
      </c>
    </row>
    <row r="20" spans="2:10">
      <c r="B20" s="1" t="s">
        <v>321</v>
      </c>
      <c r="E20" s="1">
        <v>174.2</v>
      </c>
      <c r="F20">
        <f t="shared" si="0"/>
        <v>174.2</v>
      </c>
      <c r="G20" s="1">
        <v>1</v>
      </c>
      <c r="H20" s="1">
        <f t="shared" si="1"/>
        <v>174.2</v>
      </c>
      <c r="I20" s="1">
        <v>0</v>
      </c>
      <c r="J20" s="1">
        <f t="shared" si="2"/>
        <v>0</v>
      </c>
    </row>
    <row r="21" spans="2:10">
      <c r="B21" s="1" t="s">
        <v>322</v>
      </c>
      <c r="E21" s="1">
        <v>189.3</v>
      </c>
      <c r="F21">
        <f t="shared" si="0"/>
        <v>189.3</v>
      </c>
      <c r="G21" s="1">
        <v>1</v>
      </c>
      <c r="H21" s="1">
        <f t="shared" si="1"/>
        <v>189.3</v>
      </c>
      <c r="I21" s="1">
        <v>0</v>
      </c>
      <c r="J21" s="1">
        <f t="shared" si="2"/>
        <v>0</v>
      </c>
    </row>
    <row r="22" spans="2:10">
      <c r="B22" s="1" t="s">
        <v>248</v>
      </c>
      <c r="E22" s="1">
        <v>0.8</v>
      </c>
      <c r="F22">
        <f t="shared" si="0"/>
        <v>0.8</v>
      </c>
      <c r="G22" s="1">
        <v>1</v>
      </c>
      <c r="H22" s="1">
        <f t="shared" si="1"/>
        <v>0.8</v>
      </c>
      <c r="I22" s="1">
        <v>0</v>
      </c>
      <c r="J22" s="1">
        <f t="shared" si="2"/>
        <v>0</v>
      </c>
    </row>
    <row r="23" spans="2:10">
      <c r="B23" s="2" t="s">
        <v>323</v>
      </c>
      <c r="E23" s="1">
        <v>93.8</v>
      </c>
      <c r="F23">
        <f t="shared" si="0"/>
        <v>93.8</v>
      </c>
      <c r="G23" s="1">
        <v>0</v>
      </c>
      <c r="H23" s="1">
        <f t="shared" si="1"/>
        <v>0</v>
      </c>
      <c r="I23" s="1">
        <v>1</v>
      </c>
      <c r="J23" s="1">
        <f t="shared" si="2"/>
        <v>93.8</v>
      </c>
    </row>
    <row r="24" spans="2:10">
      <c r="B24" s="3" t="s">
        <v>324</v>
      </c>
      <c r="C24" s="3">
        <f t="shared" ref="C24:J24" si="3">SUM(C11:C23)</f>
        <v>736.6</v>
      </c>
      <c r="D24" s="3">
        <f t="shared" si="3"/>
        <v>41</v>
      </c>
      <c r="E24" s="3">
        <f t="shared" si="3"/>
        <v>1448.66</v>
      </c>
      <c r="F24" s="3">
        <f t="shared" si="3"/>
        <v>2226.26</v>
      </c>
      <c r="G24" s="3">
        <f t="shared" si="3"/>
        <v>7</v>
      </c>
      <c r="H24" s="3">
        <f t="shared" si="3"/>
        <v>1088.2</v>
      </c>
      <c r="I24" s="3">
        <f t="shared" si="3"/>
        <v>6</v>
      </c>
      <c r="J24" s="3">
        <f t="shared" si="3"/>
        <v>1138.06</v>
      </c>
    </row>
    <row r="25" spans="7:10">
      <c r="G25" s="3" t="s">
        <v>325</v>
      </c>
      <c r="H25" s="3" t="s">
        <v>326</v>
      </c>
      <c r="I25" s="3" t="s">
        <v>327</v>
      </c>
      <c r="J25" s="3" t="s">
        <v>328</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4</vt:i4>
      </vt:variant>
    </vt:vector>
  </HeadingPairs>
  <TitlesOfParts>
    <vt:vector size="4" baseType="lpstr">
      <vt:lpstr>郑州平台</vt:lpstr>
      <vt:lpstr>重点研发-上海</vt:lpstr>
      <vt:lpstr>模型内部需求-上海</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zxd</cp:lastModifiedBy>
  <dcterms:created xsi:type="dcterms:W3CDTF">2026-05-23T16:53:00Z</dcterms:created>
  <dcterms:modified xsi:type="dcterms:W3CDTF">2026-05-26T12:40:13Z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